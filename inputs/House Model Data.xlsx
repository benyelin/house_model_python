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5880301F-56C2-3A49-8CE7-516D7DD90714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31" i="1" l="1"/>
  <c r="F230" i="1"/>
  <c r="F229" i="1"/>
  <c r="F228" i="1"/>
  <c r="F227" i="1"/>
  <c r="F226" i="1"/>
  <c r="F225" i="1"/>
  <c r="E232" i="1"/>
  <c r="G232" i="1" s="1"/>
  <c r="E231" i="1"/>
  <c r="E230" i="1"/>
  <c r="G230" i="1" s="1"/>
  <c r="E229" i="1"/>
  <c r="G229" i="1" s="1"/>
  <c r="E228" i="1"/>
  <c r="G228" i="1" s="1"/>
  <c r="E227" i="1"/>
  <c r="G227" i="1" s="1"/>
  <c r="E226" i="1"/>
  <c r="G226" i="1" s="1"/>
  <c r="E225" i="1"/>
  <c r="G225" i="1" s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31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F8" i="1"/>
  <c r="F7" i="1"/>
  <c r="F6" i="1"/>
  <c r="F5" i="1"/>
  <c r="F4" i="1"/>
  <c r="F3" i="1"/>
  <c r="F2" i="1"/>
  <c r="E8" i="1"/>
  <c r="G8" i="1" s="1"/>
  <c r="E7" i="1"/>
  <c r="G7" i="1" s="1"/>
  <c r="E6" i="1"/>
  <c r="G6" i="1" s="1"/>
  <c r="E5" i="1"/>
  <c r="G5" i="1" s="1"/>
  <c r="E4" i="1"/>
  <c r="G4" i="1" s="1"/>
  <c r="E3" i="1"/>
  <c r="G3" i="1" s="1"/>
  <c r="E2" i="1"/>
  <c r="G2" i="1" s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G415" i="1" s="1"/>
  <c r="F414" i="1"/>
  <c r="E414" i="1"/>
  <c r="G414" i="1" s="1"/>
  <c r="F413" i="1"/>
  <c r="E413" i="1"/>
  <c r="G413" i="1" s="1"/>
  <c r="F412" i="1"/>
  <c r="E412" i="1"/>
  <c r="G412" i="1" s="1"/>
  <c r="F411" i="1"/>
  <c r="E411" i="1"/>
  <c r="G411" i="1" s="1"/>
  <c r="F410" i="1"/>
  <c r="E410" i="1"/>
  <c r="G410" i="1" s="1"/>
  <c r="F409" i="1"/>
  <c r="E409" i="1"/>
  <c r="G409" i="1" s="1"/>
  <c r="F408" i="1"/>
  <c r="E408" i="1"/>
  <c r="G408" i="1" s="1"/>
  <c r="F407" i="1"/>
  <c r="E407" i="1"/>
  <c r="G407" i="1" s="1"/>
  <c r="F406" i="1"/>
  <c r="E406" i="1"/>
  <c r="G406" i="1" s="1"/>
  <c r="F405" i="1"/>
  <c r="E405" i="1"/>
  <c r="G405" i="1" s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G378" i="1" s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G361" i="1" s="1"/>
  <c r="F360" i="1"/>
  <c r="E360" i="1"/>
  <c r="G360" i="1" s="1"/>
  <c r="F359" i="1"/>
  <c r="E359" i="1"/>
  <c r="G359" i="1" s="1"/>
  <c r="F358" i="1"/>
  <c r="E358" i="1"/>
  <c r="G358" i="1" s="1"/>
  <c r="F357" i="1"/>
  <c r="E357" i="1"/>
  <c r="G357" i="1" s="1"/>
  <c r="F356" i="1"/>
  <c r="E356" i="1"/>
  <c r="G356" i="1" s="1"/>
  <c r="F355" i="1"/>
  <c r="E355" i="1"/>
  <c r="G355" i="1" s="1"/>
  <c r="F354" i="1"/>
  <c r="E354" i="1"/>
  <c r="G354" i="1" s="1"/>
  <c r="F353" i="1"/>
  <c r="E353" i="1"/>
  <c r="G353" i="1" s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G278" i="1" s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G180" i="1" s="1"/>
  <c r="F179" i="1"/>
  <c r="E179" i="1"/>
  <c r="G179" i="1" s="1"/>
  <c r="F178" i="1"/>
  <c r="E178" i="1"/>
  <c r="G178" i="1" s="1"/>
  <c r="F177" i="1"/>
  <c r="E177" i="1"/>
  <c r="G177" i="1" s="1"/>
  <c r="F176" i="1"/>
  <c r="E176" i="1"/>
  <c r="G176" i="1" s="1"/>
  <c r="F175" i="1"/>
  <c r="E175" i="1"/>
  <c r="G175" i="1" s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G116" i="1" s="1"/>
  <c r="F115" i="1"/>
  <c r="E115" i="1"/>
  <c r="G115" i="1" s="1"/>
  <c r="F114" i="1"/>
  <c r="E114" i="1"/>
  <c r="G114" i="1" s="1"/>
  <c r="F113" i="1"/>
  <c r="E113" i="1"/>
  <c r="G113" i="1" s="1"/>
  <c r="F112" i="1"/>
  <c r="E112" i="1"/>
  <c r="G112" i="1" s="1"/>
  <c r="F111" i="1"/>
  <c r="E111" i="1"/>
  <c r="G111" i="1" s="1"/>
  <c r="F110" i="1"/>
  <c r="E110" i="1"/>
  <c r="G110" i="1" s="1"/>
  <c r="F109" i="1"/>
  <c r="E109" i="1"/>
  <c r="G109" i="1" s="1"/>
  <c r="F108" i="1"/>
  <c r="E108" i="1"/>
  <c r="G108" i="1" s="1"/>
  <c r="F107" i="1"/>
  <c r="E107" i="1"/>
  <c r="G107" i="1" s="1"/>
  <c r="F106" i="1"/>
  <c r="E106" i="1"/>
  <c r="G106" i="1" s="1"/>
  <c r="F105" i="1"/>
  <c r="E105" i="1"/>
  <c r="G105" i="1" s="1"/>
  <c r="F104" i="1"/>
  <c r="E104" i="1"/>
  <c r="G104" i="1" s="1"/>
  <c r="F103" i="1"/>
  <c r="E103" i="1"/>
  <c r="G103" i="1" s="1"/>
  <c r="F102" i="1"/>
  <c r="E102" i="1"/>
  <c r="G102" i="1" s="1"/>
  <c r="F101" i="1"/>
  <c r="E101" i="1"/>
  <c r="G101" i="1" s="1"/>
  <c r="F100" i="1"/>
  <c r="E100" i="1"/>
  <c r="G100" i="1" s="1"/>
  <c r="F99" i="1"/>
  <c r="E99" i="1"/>
  <c r="G99" i="1" s="1"/>
  <c r="F98" i="1"/>
  <c r="E98" i="1"/>
  <c r="G98" i="1" s="1"/>
  <c r="F97" i="1"/>
  <c r="E97" i="1"/>
  <c r="G97" i="1" s="1"/>
  <c r="F96" i="1"/>
  <c r="E96" i="1"/>
  <c r="G96" i="1" s="1"/>
  <c r="F95" i="1"/>
  <c r="E95" i="1"/>
  <c r="G95" i="1" s="1"/>
  <c r="F94" i="1"/>
  <c r="E94" i="1"/>
  <c r="G94" i="1" s="1"/>
  <c r="F93" i="1"/>
  <c r="E93" i="1"/>
  <c r="G93" i="1" s="1"/>
  <c r="F92" i="1"/>
  <c r="E92" i="1"/>
  <c r="G92" i="1" s="1"/>
  <c r="F91" i="1"/>
  <c r="E91" i="1"/>
  <c r="G91" i="1" s="1"/>
  <c r="F90" i="1"/>
  <c r="E90" i="1"/>
  <c r="G90" i="1" s="1"/>
  <c r="F89" i="1"/>
  <c r="E89" i="1"/>
  <c r="G89" i="1" s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<sst xmlns="http://schemas.openxmlformats.org/spreadsheetml/2006/main" count="5611" uniqueCount="1050">
  <si>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</si>
  <si>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</si>
  <si>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</si>
  <si>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</si>
  <si>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</si>
  <si>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</si>
  <si>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</si>
  <si>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</si>
  <si>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</si>
  <si>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</si>
  <si>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</si>
  <si>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</si>
  <si>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</si>
  <si>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</si>
  <si>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</si>
  <si>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</si>
  <si>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</si>
  <si>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</si>
  <si>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</si>
  <si>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</si>
  <si>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</si>
  <si>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</si>
  <si>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</si>
  <si>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</si>
  <si>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</si>
  <si>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</si>
  <si>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</si>
  <si>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</si>
  <si>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</si>
  <si>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</si>
  <si>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</si>
  <si>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</si>
  <si>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</si>
  <si>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</si>
  <si>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</si>
  <si>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</si>
  <si>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</si>
  <si>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</si>
  <si>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</si>
  <si>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</si>
  <si>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</si>
  <si>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</si>
  <si>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</si>
  <si>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</si>
  <si>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</si>
  <si>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</si>
  <si>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</si>
  <si>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</si>
  <si>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</si>
  <si>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</si>
  <si>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</si>
  <si>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</si>
  <si>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</si>
  <si>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</si>
  <si>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</si>
  <si>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</si>
  <si>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</si>
  <si>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</si>
  <si>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</si>
  <si>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</si>
  <si>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</si>
  <si>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</si>
  <si>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</si>
  <si>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</si>
  <si>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</si>
  <si>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</si>
  <si>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</si>
  <si>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</si>
  <si>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</si>
  <si>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</si>
  <si>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</si>
  <si>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</si>
  <si>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</si>
  <si>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</si>
  <si>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</si>
  <si>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</si>
  <si>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</si>
  <si>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</si>
  <si>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</si>
  <si>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</si>
  <si>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</si>
  <si>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</si>
  <si>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</si>
  <si>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</si>
  <si>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</si>
  <si>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</si>
  <si>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</si>
  <si>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</si>
  <si>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</si>
  <si>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</si>
  <si>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</si>
  <si>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</si>
  <si>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</si>
  <si>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</si>
  <si>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</si>
  <si>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</si>
  <si>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</si>
  <si>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</si>
  <si>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</si>
  <si>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</si>
  <si>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</si>
  <si>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</si>
  <si>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</si>
  <si>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</si>
  <si>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</si>
  <si>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</si>
  <si>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</si>
  <si>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</si>
  <si>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</si>
  <si>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</si>
  <si>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</si>
  <si>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</si>
  <si>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</si>
  <si>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</si>
  <si>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</si>
  <si>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</si>
  <si>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</si>
  <si>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</si>
  <si>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</si>
  <si>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</si>
  <si>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</si>
  <si>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</si>
  <si>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</si>
  <si>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</si>
  <si>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</si>
  <si>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</si>
  <si>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</si>
  <si>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</si>
  <si>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</si>
  <si>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</si>
  <si>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</si>
  <si>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</si>
  <si>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</si>
  <si>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</si>
  <si>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</si>
  <si>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</si>
  <si>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</si>
  <si>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</si>
  <si>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</si>
  <si>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</si>
  <si>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</si>
  <si>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</si>
  <si>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</si>
  <si>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</si>
  <si>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</si>
  <si>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</si>
  <si>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</si>
  <si>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</si>
  <si>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</si>
  <si>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</si>
  <si>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</si>
  <si>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</si>
  <si>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</si>
  <si>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</si>
  <si>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</si>
  <si>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</si>
  <si>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</si>
  <si>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</si>
  <si>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</si>
  <si>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</si>
  <si>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</si>
  <si>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</si>
  <si>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</si>
  <si>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</si>
  <si>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</si>
  <si>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</si>
  <si>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</si>
  <si>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</si>
  <si>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</si>
  <si>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</si>
  <si>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</si>
  <si>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</si>
  <si>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</si>
  <si>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</si>
  <si>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</si>
  <si>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</si>
  <si>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</si>
  <si>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</si>
  <si>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</si>
  <si>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</si>
  <si>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</si>
  <si>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</si>
  <si>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</si>
  <si>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</si>
  <si>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</si>
  <si>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</si>
  <si>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</si>
  <si>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</si>
  <si>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</si>
  <si>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</si>
  <si>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</si>
  <si>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</si>
  <si>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</si>
  <si>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</si>
  <si>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</si>
  <si>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</si>
  <si>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</si>
  <si>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</si>
  <si>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</si>
  <si>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</si>
  <si>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</si>
  <si>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</si>
  <si>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</si>
  <si>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</si>
  <si>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</si>
  <si>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</si>
  <si>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</si>
  <si>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</si>
  <si>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</si>
  <si>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</si>
  <si>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</si>
  <si>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</si>
  <si>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</si>
  <si>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</si>
  <si>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</si>
  <si>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</si>
  <si>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</si>
  <si>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</si>
  <si>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</si>
  <si>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</si>
  <si>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</si>
  <si>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</si>
  <si>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</si>
  <si>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</si>
  <si>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</si>
  <si>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</si>
  <si>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</si>
  <si>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</si>
  <si>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</si>
  <si>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</si>
  <si>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</si>
  <si>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</si>
  <si>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</si>
  <si>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</si>
  <si>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</si>
  <si>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</si>
  <si>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</si>
  <si>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</si>
  <si>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</si>
  <si>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</si>
  <si>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</si>
  <si>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</si>
  <si>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</si>
  <si>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</si>
  <si>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</si>
  <si>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</si>
  <si>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</si>
  <si>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</si>
  <si>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</si>
  <si>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</si>
  <si>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</si>
  <si>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</si>
  <si>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</si>
  <si>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</si>
  <si>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</si>
  <si>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</si>
  <si>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</si>
  <si>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</si>
  <si>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</si>
  <si>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</si>
  <si>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</si>
  <si>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</si>
  <si>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</si>
  <si>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</si>
  <si>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</si>
  <si>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</si>
  <si>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</si>
  <si>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</si>
  <si>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</si>
  <si>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</si>
  <si>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</si>
  <si>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</si>
  <si>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</si>
  <si>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</si>
  <si>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</si>
  <si>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</si>
  <si>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</si>
  <si>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</si>
  <si>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</si>
  <si>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</si>
  <si>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</si>
  <si>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</si>
  <si>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</si>
  <si>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</si>
  <si>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</si>
  <si>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</si>
  <si>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</si>
  <si>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</si>
  <si>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</si>
  <si>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</si>
  <si>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</si>
  <si>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</si>
  <si>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</si>
  <si>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</si>
  <si>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</si>
  <si>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</si>
  <si>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</si>
  <si>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</si>
  <si>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</si>
  <si>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</si>
  <si>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</si>
  <si>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</si>
  <si>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</si>
  <si>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</si>
  <si>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</si>
  <si>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</si>
  <si>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</si>
  <si>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</si>
  <si>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</si>
  <si>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</si>
  <si>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</si>
  <si>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</si>
  <si>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</si>
  <si>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</si>
  <si>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</si>
  <si>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</si>
  <si>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</si>
  <si>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</si>
  <si>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</si>
  <si>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</si>
  <si>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</si>
  <si>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</si>
  <si>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</si>
  <si>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</si>
  <si>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</si>
  <si>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</si>
  <si>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</si>
  <si>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</si>
  <si>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</si>
  <si>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</si>
  <si>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</si>
  <si>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</si>
  <si>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</si>
  <si>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</si>
  <si>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</si>
  <si>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</si>
  <si>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</si>
  <si>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</si>
  <si>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</si>
  <si>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</si>
  <si>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</si>
  <si>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</si>
  <si>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</si>
  <si>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</si>
  <si>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</si>
  <si>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</si>
  <si>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</si>
  <si>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</si>
  <si>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</si>
  <si>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</si>
  <si>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</si>
  <si>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</si>
  <si>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</si>
  <si>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</si>
  <si>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</si>
  <si>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</si>
  <si>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</si>
  <si>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</si>
  <si>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</si>
  <si>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</si>
  <si>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</si>
  <si>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</si>
  <si>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</si>
  <si>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</si>
  <si>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</si>
  <si>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</si>
  <si>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</si>
  <si>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</si>
  <si>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</si>
  <si>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</si>
  <si>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</si>
  <si>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</si>
  <si>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</si>
  <si>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</si>
  <si>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</si>
  <si>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</si>
  <si>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</si>
  <si>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</si>
  <si>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</si>
  <si>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</si>
  <si>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</si>
  <si>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</si>
  <si>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</si>
  <si>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</si>
  <si>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</si>
  <si>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</si>
  <si>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</si>
  <si>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</si>
  <si>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</si>
  <si>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</si>
  <si>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</si>
  <si>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</si>
  <si>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</si>
  <si>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</si>
  <si>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</si>
  <si>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</si>
  <si>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</si>
  <si>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</si>
  <si>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</si>
  <si>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</si>
  <si>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</si>
  <si>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</si>
  <si>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</si>
  <si>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</si>
  <si>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</si>
  <si>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</si>
  <si>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</si>
  <si>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</si>
  <si>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</si>
  <si>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</si>
  <si>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</si>
  <si>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</si>
  <si>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</si>
  <si>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</si>
  <si>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</si>
  <si>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</si>
  <si>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</si>
  <si>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</si>
  <si>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</si>
  <si>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</si>
  <si>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</si>
  <si>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</si>
  <si>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</si>
  <si>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</si>
  <si>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</si>
  <si>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</si>
  <si>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</si>
  <si>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</si>
  <si>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</si>
  <si>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</si>
  <si>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</si>
  <si>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</si>
  <si>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</si>
  <si>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</si>
  <si>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</si>
  <si>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</si>
  <si>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</si>
  <si>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</si>
  <si>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</si>
  <si>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</si>
  <si>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</si>
  <si>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</si>
  <si>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</si>
  <si>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</si>
  <si>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</si>
  <si>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</si>
  <si>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</si>
  <si>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</si>
  <si>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</si>
  <si>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</si>
  <si>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</si>
  <si>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</si>
  <si>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</si>
  <si>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</si>
  <si>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</si>
  <si>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</si>
  <si>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</si>
  <si>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</si>
  <si>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</si>
  <si>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</si>
  <si>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</si>
  <si>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</si>
  <si>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</si>
  <si>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</si>
  <si>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</si>
  <si>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</si>
  <si>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</si>
  <si>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</si>
  <si>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</si>
  <si>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</si>
  <si>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</si>
  <si>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</si>
  <si>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</si>
  <si>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</si>
  <si>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</si>
  <si>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</si>
  <si>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</si>
  <si>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</si>
  <si>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</si>
  <si>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</si>
  <si>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</si>
  <si>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</si>
  <si>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</si>
  <si>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</si>
  <si>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</si>
  <si>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</si>
  <si>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</si>
  <si>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</si>
  <si>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</si>
  <si>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</si>
  <si>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</si>
  <si>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</si>
  <si>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</si>
  <si>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</si>
  <si>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</si>
  <si>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</si>
  <si>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</si>
  <si>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</si>
  <si>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</si>
  <si>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</si>
  <si>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</si>
  <si>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</si>
  <si>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</si>
  <si>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</si>
  <si>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</si>
  <si>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</si>
  <si>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</si>
  <si>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</si>
  <si>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</si>
  <si>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</si>
  <si>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</si>
  <si>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</si>
  <si>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</si>
  <si>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</si>
  <si>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</si>
  <si>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</si>
  <si>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</si>
  <si>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</si>
  <si>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</si>
  <si>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</si>
  <si>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</si>
  <si>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</si>
  <si>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</si>
  <si>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</si>
  <si>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</si>
  <si>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</si>
  <si>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</si>
  <si>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</si>
  <si>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</si>
  <si>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</si>
  <si>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</si>
  <si>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</si>
  <si>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</si>
  <si>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</si>
  <si>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</si>
  <si>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</si>
  <si>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</si>
  <si>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</si>
  <si>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</si>
  <si>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</si>
  <si>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</si>
  <si>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</si>
  <si>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</si>
  <si>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</si>
  <si>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</si>
  <si>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</si>
  <si>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</si>
  <si>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</si>
  <si>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</si>
  <si>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</si>
  <si>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</si>
  <si>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</si>
  <si>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</si>
  <si>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</si>
  <si>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</si>
  <si>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</si>
  <si>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</si>
  <si>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</si>
  <si>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</si>
  <si>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</si>
  <si>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</si>
  <si>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</si>
  <si>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</si>
  <si>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</si>
  <si>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</si>
  <si>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</si>
  <si>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</si>
  <si>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</si>
  <si>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</si>
  <si>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</si>
  <si>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</si>
  <si>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</si>
  <si>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</si>
  <si>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</si>
  <si>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</si>
  <si>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</si>
  <si>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</si>
  <si>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</si>
  <si>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</si>
  <si>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</si>
  <si>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</si>
  <si>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</si>
  <si>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</si>
  <si>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</si>
  <si>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</si>
  <si>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</si>
  <si>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</si>
  <si>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</si>
  <si>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</si>
  <si>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</si>
  <si>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</si>
  <si>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</si>
  <si>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</si>
  <si>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</si>
  <si>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</si>
  <si>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</si>
  <si>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</si>
  <si>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</si>
  <si>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</si>
  <si>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</si>
  <si>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</si>
  <si>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</si>
  <si>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</si>
  <si>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</si>
  <si>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</si>
  <si>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</si>
  <si>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</si>
  <si>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</si>
  <si>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</si>
  <si>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</si>
  <si>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</si>
  <si>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</si>
  <si>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</si>
  <si>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</si>
  <si>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</si>
  <si>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</si>
  <si>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</si>
  <si>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</si>
  <si>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</si>
  <si>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</si>
  <si>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</si>
  <si>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</si>
  <si>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</si>
  <si>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</si>
  <si>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</si>
  <si>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</si>
  <si>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</si>
  <si>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</si>
  <si>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</si>
  <si>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</si>
  <si>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</si>
  <si>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</si>
  <si>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</si>
  <si>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</si>
  <si>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</si>
  <si>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</si>
  <si>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</si>
  <si>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</si>
  <si>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</si>
  <si>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</si>
  <si>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</si>
  <si>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</si>
  <si>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</si>
  <si>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</si>
  <si>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</si>
  <si>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</si>
  <si>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</si>
  <si>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</si>
  <si>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</si>
  <si>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</si>
  <si>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</si>
  <si>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</si>
  <si>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</si>
  <si>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</si>
  <si>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</si>
  <si>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</si>
  <si>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</si>
  <si>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</si>
  <si>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</si>
  <si>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</si>
  <si>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</si>
  <si>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</si>
  <si>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</si>
  <si>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</si>
  <si>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</si>
  <si>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</si>
  <si>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</si>
  <si>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</si>
  <si>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</si>
  <si>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</si>
  <si>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</si>
  <si>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</si>
  <si>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</si>
  <si>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</si>
  <si>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</si>
  <si>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</si>
  <si>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</si>
  <si>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</si>
  <si>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</si>
  <si>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</si>
  <si>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</si>
  <si>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</si>
  <si>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</si>
  <si>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</si>
  <si>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</si>
  <si>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</si>
  <si>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</si>
  <si>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</si>
  <si>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</si>
  <si>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</si>
  <si>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</si>
  <si>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</si>
  <si>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</si>
  <si>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</si>
  <si>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</si>
  <si>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</si>
  <si>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</si>
  <si>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</si>
  <si>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</si>
  <si>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</si>
  <si>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</si>
  <si>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</si>
  <si>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</si>
  <si>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</si>
  <si>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</si>
  <si>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</si>
  <si>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</si>
  <si>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</si>
  <si>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</si>
  <si>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</si>
  <si>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</si>
  <si>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</si>
  <si>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</si>
  <si>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</si>
  <si>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</si>
  <si>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</si>
  <si>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</si>
  <si>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</si>
  <si>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</si>
  <si>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</si>
  <si>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</si>
  <si>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</si>
  <si>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</si>
  <si>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</si>
  <si>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</si>
  <si>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</si>
  <si>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</si>
  <si>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</si>
  <si>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</si>
  <si>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</si>
  <si>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</si>
  <si>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</si>
  <si>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</si>
  <si>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</si>
  <si>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</si>
  <si>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</si>
  <si>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</si>
  <si>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</si>
  <si>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</si>
  <si>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</si>
  <si>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</si>
  <si>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</si>
  <si>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</si>
  <si>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</si>
  <si>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</si>
  <si>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</si>
  <si>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</si>
  <si>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</si>
  <si>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</si>
  <si>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</si>
  <si>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</si>
  <si>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</si>
  <si>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</si>
  <si>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</si>
  <si>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</si>
  <si>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</si>
  <si>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</si>
  <si>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</si>
  <si>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</si>
  <si>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</si>
  <si>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</si>
  <si>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</si>
  <si>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</si>
  <si>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</si>
  <si>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</si>
  <si>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</si>
  <si>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</si>
  <si>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</si>
  <si>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</si>
  <si>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</si>
  <si>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</si>
  <si>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</si>
  <si>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</si>
  <si>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</si>
  <si>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</si>
  <si>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</si>
  <si>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</si>
  <si>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</si>
  <si>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</si>
  <si>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</si>
  <si>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</si>
  <si>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</si>
  <si>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</si>
  <si>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</si>
  <si>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</si>
  <si>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</si>
  <si>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</si>
  <si>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</si>
  <si>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</si>
  <si>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</si>
  <si>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</si>
  <si>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</si>
  <si>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</si>
  <si>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</si>
  <si>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</si>
  <si>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</si>
  <si>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</si>
  <si>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</si>
  <si>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</si>
  <si>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</si>
  <si>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</si>
  <si>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</si>
  <si>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</si>
  <si>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</si>
  <si>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</si>
  <si>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</si>
  <si>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</si>
  <si>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</si>
  <si>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</si>
  <si>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</si>
  <si>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</si>
  <si>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</si>
  <si>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</si>
  <si>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</si>
  <si>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</si>
  <si>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</si>
  <si>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</si>
  <si>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</si>
  <si>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</si>
  <si>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</si>
  <si>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</si>
  <si>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</si>
  <si>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</si>
  <si>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</si>
  <si>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</si>
  <si>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</si>
  <si>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</si>
  <si>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</si>
  <si>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</si>
  <si>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</si>
  <si>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</si>
  <si>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</si>
  <si>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</si>
  <si>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</si>
  <si>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</si>
  <si>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</si>
  <si>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</si>
  <si>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</si>
  <si>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</si>
  <si>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</si>
  <si>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</si>
  <si>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</si>
  <si>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</si>
  <si>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</si>
  <si>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</si>
  <si>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</si>
  <si>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</si>
  <si>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</si>
  <si>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</si>
  <si>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</si>
  <si>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</si>
  <si>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</si>
  <si>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</si>
  <si>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</si>
  <si>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</si>
  <si>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</si>
  <si>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</si>
  <si>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</si>
  <si>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</si>
  <si>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</si>
  <si>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</si>
  <si>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</si>
  <si>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</si>
  <si>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</si>
  <si>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</si>
  <si>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</si>
  <si>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</si>
  <si>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</si>
  <si>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</si>
  <si>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</si>
  <si>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</si>
  <si>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</si>
  <si>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</si>
  <si>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</si>
  <si>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</si>
  <si>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</si>
  <si>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</si>
  <si>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</si>
  <si>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</si>
  <si>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</si>
  <si>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</si>
  <si>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</si>
  <si>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</si>
  <si>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</si>
  <si>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</si>
  <si>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</si>
  <si>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</si>
  <si>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</si>
  <si>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</si>
  <si>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</si>
  <si>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</si>
  <si>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</si>
  <si>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</si>
  <si>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</si>
  <si>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</si>
  <si>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</si>
  <si>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</si>
  <si>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</si>
  <si>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</si>
  <si>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</si>
  <si>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</si>
  <si>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</si>
  <si>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</si>
  <si>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</si>
  <si>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</si>
  <si>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</si>
  <si>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</si>
  <si>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</si>
  <si>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</si>
  <si>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</si>
  <si>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</si>
  <si>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</si>
  <si>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</si>
  <si>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</si>
  <si>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</si>
  <si>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</si>
  <si>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</si>
  <si>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</si>
  <si>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</si>
  <si>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</si>
  <si>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</si>
  <si>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</si>
  <si>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</si>
  <si>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</si>
  <si>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</si>
  <si>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</si>
  <si>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</si>
  <si>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</si>
  <si>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</si>
  <si>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</si>
  <si>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</si>
  <si>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</si>
  <si>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</si>
  <si>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</si>
  <si>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</si>
  <si>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</si>
  <si>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</si>
  <si>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</si>
  <si>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</si>
  <si>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</si>
  <si>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</si>
  <si>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</si>
  <si>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</si>
  <si>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</si>
  <si>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</si>
  <si>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</si>
  <si>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</si>
  <si>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</si>
  <si>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</si>
  <si>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</si>
  <si>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</si>
  <si>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</si>
  <si>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</si>
  <si>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</si>
  <si>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</si>
  <si>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</si>
  <si>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</si>
  <si>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</si>
  <si>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</si>
  <si>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</si>
  <si>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</si>
  <si>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</si>
  <si>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</si>
  <si>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</si>
  <si>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</si>
  <si>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</si>
  <si>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</si>
  <si>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</si>
  <si>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</si>
  <si>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</si>
  <si>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</si>
  <si>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</si>
  <si>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</si>
  <si>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</si>
  <si>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</si>
  <si>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</si>
  <si>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</si>
  <si>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</si>
  <si>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</si>
  <si>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</si>
  <si>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</si>
  <si>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</si>
  <si>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</si>
  <si>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</si>
  <si>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</si>
  <si>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</si>
  <si>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</si>
  <si>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</si>
  <si>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</si>
  <si>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</si>
  <si>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</si>
  <si>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</si>
  <si>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</si>
  <si>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</si>
  <si>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</si>
  <si>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</si>
  <si>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</si>
  <si>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</si>
  <si>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</si>
  <si>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</si>
  <si>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</si>
  <si>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</si>
  <si>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</si>
  <si>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</si>
  <si>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</si>
  <si>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</si>
  <si>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</si>
  <si>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</si>
  <si>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</si>
  <si>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</si>
  <si>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</si>
  <si>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</si>
  <si>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</si>
  <si>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</si>
  <si>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</si>
  <si>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</si>
  <si>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</si>
  <si>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</si>
  <si>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</si>
  <si>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</si>
  <si>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</si>
  <si>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</si>
  <si>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</si>
  <si>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</si>
  <si>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</si>
  <si>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</si>
  <si>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</si>
  <si>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</si>
  <si>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</si>
  <si>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</si>
  <si>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</si>
  <si>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</si>
  <si>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</si>
  <si>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</si>
  <si>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</si>
  <si>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</si>
  <si>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</si>
  <si>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</si>
  <si>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</si>
  <si>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</si>
  <si>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</si>
  <si>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</si>
  <si>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</si>
  <si>
    <t>Grossi, Gary</t>
  </si>
  <si>
    <t>Stalcup, Thomas</t>
  </si>
  <si>
    <t>Clark, Kathrine</t>
  </si>
  <si>
    <t>Koh, Dan</t>
  </si>
  <si>
    <t>Jones, Micah Quincey</t>
  </si>
  <si>
    <t>Burke, Robert</t>
  </si>
  <si>
    <t>Macallister, Tyler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</si>
</sst>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B190" workbookViewId="0">
      <selection activeCell="H198" sqref="H198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6.5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20.6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6.5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22.1</v>
      </c>
      <c r="H191" t="s">
        <v>251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769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31.900000000000002</v>
      </c>
      <c r="H192" t="s">
        <v>690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769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27.1</v>
      </c>
      <c r="H193" t="s">
        <v>252</v>
      </c>
      <c r="I193" s="4" t="s">
        <v>1043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702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H194" t="s">
        <v>253</v>
      </c>
      <c r="I194" s="4" t="s">
        <v>1044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702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H195" t="s">
        <v>1045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769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28.900000000000002</v>
      </c>
      <c r="H196" s="4" t="s">
        <v>1046</v>
      </c>
      <c r="I196" s="4" t="s">
        <v>1047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702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71</v>
      </c>
      <c r="H197" t="s">
        <v>256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769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34.5</v>
      </c>
      <c r="H198" t="s">
        <v>257</v>
      </c>
      <c r="I198" s="4" t="s">
        <v>1048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701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19</v>
      </c>
      <c r="H199" t="s">
        <v>258</v>
      </c>
      <c r="I199" s="4" t="s">
        <v>1049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701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f>77.7-20.5</f>
        <v>57.2</v>
      </c>
      <c r="F225" s="3">
        <f>78.4-20</f>
        <v>58.400000000000006</v>
      </c>
      <c r="G225" s="3">
        <f t="shared" si="3"/>
        <v>65.5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f>45.2-53.1</f>
        <v>-7.8999999999999986</v>
      </c>
      <c r="F226" s="3">
        <f>45.3-53.1</f>
        <v>-7.8000000000000043</v>
      </c>
      <c r="G226" s="3">
        <f t="shared" si="3"/>
        <v>0.40000000000000124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f>35.9-62.6</f>
        <v>-26.700000000000003</v>
      </c>
      <c r="F227" s="3">
        <f>36-62.1</f>
        <v>-26.1</v>
      </c>
      <c r="G227" s="3">
        <f t="shared" si="3"/>
        <v>-18.400000000000002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f>28.3-70.4</f>
        <v>-42.100000000000009</v>
      </c>
      <c r="F228" s="3">
        <f>29.2-68.8</f>
        <v>-39.599999999999994</v>
      </c>
      <c r="G228" s="3">
        <f t="shared" si="3"/>
        <v>-33.800000000000011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f>60.8-37.4</f>
        <v>23.4</v>
      </c>
      <c r="F229" s="3">
        <f>62.2-35.8</f>
        <v>26.400000000000006</v>
      </c>
      <c r="G229" s="3">
        <f t="shared" si="3"/>
        <v>31.7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f>30-68.6</f>
        <v>-38.599999999999994</v>
      </c>
      <c r="F230" s="3">
        <f>30.6-67.7</f>
        <v>-37.1</v>
      </c>
      <c r="G230" s="3">
        <f t="shared" si="3"/>
        <v>-30.299999999999994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f>28.1-70.7</f>
        <v>-42.6</v>
      </c>
      <c r="F231" s="3">
        <f>28.4-69.8</f>
        <v>-41.4</v>
      </c>
      <c r="G231" s="3">
        <f t="shared" si="3"/>
        <v>-34.300000000000004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f>22.6-76.5</f>
        <v>-53.9</v>
      </c>
      <c r="F232" s="3">
        <f>23.6-74.9</f>
        <v>-51.300000000000004</v>
      </c>
      <c r="G232" s="3">
        <f>E232+6.8+1.5</f>
        <v>-45.6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10.3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701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701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-13.2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-47.300000000000004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-36.5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30.3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701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701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24.6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49.3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48.3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2026-09-03T22:16:05Z</dcterms:modified>
</cp:coreProperties>
</file>