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9D8C79C3-2CE8-1F4F-85E8-35399414900E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M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N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<sst xmlns="http://schemas.openxmlformats.org/spreadsheetml/2006/main" count="5067" uniqueCount="709">
  <si>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</si>
  <si>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</si>
  <si>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</si>
  <si>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</si>
  <si>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</si>
  <si>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</si>
  <si>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</si>
  <si>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</si>
  <si>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</si>
  <si>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</si>
  <si>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</si>
  <si>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</si>
  <si>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</si>
  <si>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</si>
  <si>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</si>
  <si>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</si>
  <si>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</si>
  <si>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</si>
  <si>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</si>
  <si>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</si>
  <si>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</si>
  <si>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</si>
  <si>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</si>
  <si>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</si>
  <si>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</si>
  <si>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</si>
  <si>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</si>
  <si>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</si>
  <si>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</si>
  <si>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</si>
  <si>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</si>
  <si>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</si>
  <si>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</si>
  <si>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</si>
  <si>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</si>
  <si>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</si>
  <si>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</si>
  <si>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</si>
  <si>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Kiley, Kevin/Bera, Ami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</si>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</sst>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6-05-30T12:46:54.78" personId="{D1F88E81-7DBF-1B4A-907A-3BF92BC08466}" id="{64FF4A2E-41B6-D242-BD56-86F00F3F130C}">
    <text>Low: &lt;25%
Medium: 25-35%
High: 35-45%
Very High: &gt;45%</text>
  </threadedComment>
  <threadedComment ref="N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U436"/>
  <sheetViews>
    <sheetView tabSelected="1" topLeftCell="A301" workbookViewId="0">
      <selection activeCell="H328" sqref="H328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5.33203125" customWidth="1"/>
    <col min="9" max="9" width="24.1640625" customWidth="1"/>
    <col min="10" max="10" width="13.6640625" hidden="1" customWidth="1"/>
    <col min="11" max="11" width="18.6640625" hidden="1" customWidth="1"/>
    <col min="12" max="12" width="28" hidden="1" customWidth="1"/>
    <col min="13" max="13" width="21" hidden="1" customWidth="1"/>
    <col min="14" max="14" width="29.1640625" hidden="1" customWidth="1"/>
    <col min="15" max="15" width="19.5" hidden="1" customWidth="1"/>
    <col min="16" max="16" width="21.33203125" customWidth="1"/>
    <col min="17" max="17" width="23.83203125" customWidth="1"/>
    <col min="18" max="18" width="16.1640625" customWidth="1"/>
    <col min="19" max="19" width="29.6640625" customWidth="1"/>
    <col min="20" max="20" width="22" customWidth="1"/>
    <col min="21" max="21" width="21.1640625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695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2" t="s">
        <v>661</v>
      </c>
      <c r="K1" s="2" t="s">
        <v>662</v>
      </c>
      <c r="L1" s="2" t="s">
        <v>663</v>
      </c>
      <c r="M1" s="1" t="s">
        <v>685</v>
      </c>
      <c r="N1" s="1" t="s">
        <v>693</v>
      </c>
      <c r="O1" s="1" t="s">
        <v>686</v>
      </c>
      <c r="P1" s="1" t="s">
        <v>687</v>
      </c>
      <c r="Q1" s="1" t="s">
        <v>688</v>
      </c>
      <c r="R1" s="1" t="s">
        <v>700</v>
      </c>
      <c r="S1" s="1" t="s">
        <v>704</v>
      </c>
      <c r="T1" s="1" t="s">
        <v>707</v>
      </c>
      <c r="U1" s="1" t="s">
        <v>708</v>
      </c>
    </row>
    <row r="2" spans="1:21" x14ac:dyDescent="0.2">
      <c r="A2" t="s">
        <v>17</v>
      </c>
      <c r="B2">
        <v>1</v>
      </c>
      <c r="C2" t="s">
        <v>8</v>
      </c>
      <c r="D2" t="s">
        <v>696</v>
      </c>
      <c r="E2" s="3">
        <v>-55.1</v>
      </c>
      <c r="F2" s="3">
        <f>24.2-74.5</f>
        <v>-50.3</v>
      </c>
      <c r="G2" s="3">
        <f t="shared" ref="G2:G65" si="0">E2+6.9+1.5</f>
        <v>-46.7</v>
      </c>
      <c r="J2" t="s">
        <v>676</v>
      </c>
      <c r="K2" t="s">
        <v>673</v>
      </c>
      <c r="R2" t="s">
        <v>702</v>
      </c>
      <c r="S2" t="s">
        <v>705</v>
      </c>
    </row>
    <row r="3" spans="1:21" x14ac:dyDescent="0.2">
      <c r="A3" t="s">
        <v>17</v>
      </c>
      <c r="B3">
        <v>2</v>
      </c>
      <c r="C3" t="s">
        <v>9</v>
      </c>
      <c r="D3" t="s">
        <v>697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J3" t="s">
        <v>676</v>
      </c>
      <c r="K3" t="s">
        <v>673</v>
      </c>
      <c r="R3" t="s">
        <v>702</v>
      </c>
      <c r="S3" t="s">
        <v>705</v>
      </c>
    </row>
    <row r="4" spans="1:21" x14ac:dyDescent="0.2">
      <c r="A4" t="s">
        <v>17</v>
      </c>
      <c r="B4">
        <v>3</v>
      </c>
      <c r="C4" t="s">
        <v>10</v>
      </c>
      <c r="D4" t="s">
        <v>696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J4" t="s">
        <v>676</v>
      </c>
      <c r="K4" t="s">
        <v>673</v>
      </c>
      <c r="R4" t="s">
        <v>702</v>
      </c>
      <c r="S4" t="s">
        <v>706</v>
      </c>
    </row>
    <row r="5" spans="1:21" x14ac:dyDescent="0.2">
      <c r="A5" t="s">
        <v>17</v>
      </c>
      <c r="B5">
        <v>4</v>
      </c>
      <c r="C5" t="s">
        <v>12</v>
      </c>
      <c r="D5" t="s">
        <v>696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J5" t="s">
        <v>676</v>
      </c>
      <c r="K5" t="s">
        <v>673</v>
      </c>
      <c r="R5" t="s">
        <v>702</v>
      </c>
      <c r="S5" t="s">
        <v>706</v>
      </c>
    </row>
    <row r="6" spans="1:21" x14ac:dyDescent="0.2">
      <c r="A6" t="s">
        <v>17</v>
      </c>
      <c r="B6">
        <v>5</v>
      </c>
      <c r="C6" t="s">
        <v>14</v>
      </c>
      <c r="D6" t="s">
        <v>696</v>
      </c>
      <c r="E6" s="3">
        <v>-29.8</v>
      </c>
      <c r="F6" s="3">
        <f>35.5-62.5</f>
        <v>-27</v>
      </c>
      <c r="G6" s="3">
        <f t="shared" si="0"/>
        <v>-21.4</v>
      </c>
      <c r="J6" t="s">
        <v>676</v>
      </c>
      <c r="K6" t="s">
        <v>673</v>
      </c>
      <c r="R6" t="s">
        <v>702</v>
      </c>
      <c r="S6" t="s">
        <v>705</v>
      </c>
    </row>
    <row r="7" spans="1:21" x14ac:dyDescent="0.2">
      <c r="A7" t="s">
        <v>17</v>
      </c>
      <c r="B7">
        <v>6</v>
      </c>
      <c r="C7" t="s">
        <v>15</v>
      </c>
      <c r="D7" t="s">
        <v>696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J7" t="s">
        <v>676</v>
      </c>
      <c r="K7" t="s">
        <v>673</v>
      </c>
      <c r="R7" t="s">
        <v>702</v>
      </c>
      <c r="S7" t="s">
        <v>705</v>
      </c>
    </row>
    <row r="8" spans="1:21" x14ac:dyDescent="0.2">
      <c r="A8" t="s">
        <v>17</v>
      </c>
      <c r="B8">
        <v>7</v>
      </c>
      <c r="C8" t="s">
        <v>16</v>
      </c>
      <c r="D8" t="s">
        <v>697</v>
      </c>
      <c r="E8" s="3">
        <v>23.9</v>
      </c>
      <c r="F8" s="3">
        <f>63.9-34.9</f>
        <v>29</v>
      </c>
      <c r="G8" s="3">
        <f t="shared" si="0"/>
        <v>32.299999999999997</v>
      </c>
      <c r="J8" t="s">
        <v>676</v>
      </c>
      <c r="K8" t="s">
        <v>673</v>
      </c>
      <c r="R8" t="s">
        <v>702</v>
      </c>
      <c r="S8" t="s">
        <v>705</v>
      </c>
    </row>
    <row r="9" spans="1:21" x14ac:dyDescent="0.2">
      <c r="A9" t="s">
        <v>612</v>
      </c>
      <c r="B9" s="5" t="s">
        <v>17</v>
      </c>
      <c r="C9" t="s">
        <v>18</v>
      </c>
      <c r="D9" t="s">
        <v>696</v>
      </c>
      <c r="E9" s="3">
        <v>-13.1</v>
      </c>
      <c r="F9" s="3">
        <f>42.8-52.8</f>
        <v>-10</v>
      </c>
      <c r="G9" s="3">
        <f t="shared" si="0"/>
        <v>-4.6999999999999993</v>
      </c>
      <c r="J9" t="s">
        <v>675</v>
      </c>
      <c r="K9" t="s">
        <v>674</v>
      </c>
      <c r="M9" t="s">
        <v>690</v>
      </c>
      <c r="N9" t="s">
        <v>691</v>
      </c>
      <c r="O9" t="s">
        <v>690</v>
      </c>
      <c r="R9" t="s">
        <v>703</v>
      </c>
      <c r="S9" t="s">
        <v>705</v>
      </c>
    </row>
    <row r="10" spans="1:21" x14ac:dyDescent="0.2">
      <c r="A10" t="s">
        <v>613</v>
      </c>
      <c r="B10">
        <v>1</v>
      </c>
      <c r="C10" t="s">
        <v>19</v>
      </c>
      <c r="D10" t="s">
        <v>696</v>
      </c>
      <c r="E10" s="3">
        <v>-3.1</v>
      </c>
      <c r="F10" s="3">
        <f>50.1-48.6</f>
        <v>1.5</v>
      </c>
      <c r="G10" s="3">
        <f t="shared" si="0"/>
        <v>5.3000000000000007</v>
      </c>
      <c r="J10" t="s">
        <v>677</v>
      </c>
      <c r="K10" t="s">
        <v>671</v>
      </c>
      <c r="M10" t="s">
        <v>692</v>
      </c>
      <c r="N10" t="s">
        <v>691</v>
      </c>
      <c r="O10" t="s">
        <v>690</v>
      </c>
      <c r="P10" t="s">
        <v>690</v>
      </c>
      <c r="R10" t="s">
        <v>702</v>
      </c>
      <c r="S10" t="s">
        <v>705</v>
      </c>
    </row>
    <row r="11" spans="1:21" x14ac:dyDescent="0.2">
      <c r="A11" t="s">
        <v>613</v>
      </c>
      <c r="B11">
        <v>2</v>
      </c>
      <c r="C11" t="s">
        <v>20</v>
      </c>
      <c r="D11" t="s">
        <v>696</v>
      </c>
      <c r="E11" s="3">
        <v>-14.9</v>
      </c>
      <c r="F11" s="3">
        <f>45.3-53.2</f>
        <v>-7.9000000000000057</v>
      </c>
      <c r="G11" s="3">
        <f t="shared" si="0"/>
        <v>-6.5</v>
      </c>
      <c r="J11" t="s">
        <v>677</v>
      </c>
      <c r="K11" t="s">
        <v>674</v>
      </c>
      <c r="M11" t="s">
        <v>690</v>
      </c>
      <c r="N11" t="s">
        <v>689</v>
      </c>
      <c r="O11" t="s">
        <v>690</v>
      </c>
      <c r="P11" t="s">
        <v>690</v>
      </c>
      <c r="R11" t="s">
        <v>702</v>
      </c>
      <c r="S11" t="s">
        <v>705</v>
      </c>
    </row>
    <row r="12" spans="1:21" x14ac:dyDescent="0.2">
      <c r="A12" t="s">
        <v>613</v>
      </c>
      <c r="B12">
        <v>3</v>
      </c>
      <c r="C12" t="s">
        <v>21</v>
      </c>
      <c r="D12" t="s">
        <v>697</v>
      </c>
      <c r="E12" s="3">
        <v>39.6</v>
      </c>
      <c r="F12" s="3">
        <f>74.5-23.9</f>
        <v>50.6</v>
      </c>
      <c r="G12" s="3">
        <f t="shared" si="0"/>
        <v>48</v>
      </c>
      <c r="J12" t="s">
        <v>677</v>
      </c>
      <c r="K12" t="s">
        <v>674</v>
      </c>
      <c r="M12" t="s">
        <v>690</v>
      </c>
      <c r="N12" t="s">
        <v>690</v>
      </c>
      <c r="O12" t="s">
        <v>689</v>
      </c>
      <c r="P12" t="s">
        <v>692</v>
      </c>
      <c r="R12" t="s">
        <v>702</v>
      </c>
      <c r="S12" t="s">
        <v>705</v>
      </c>
    </row>
    <row r="13" spans="1:21" x14ac:dyDescent="0.2">
      <c r="A13" t="s">
        <v>613</v>
      </c>
      <c r="B13">
        <v>4</v>
      </c>
      <c r="C13" t="s">
        <v>22</v>
      </c>
      <c r="D13" t="s">
        <v>697</v>
      </c>
      <c r="E13" s="3">
        <v>7.3</v>
      </c>
      <c r="F13" s="3">
        <f>54.2-43.9</f>
        <v>10.300000000000004</v>
      </c>
      <c r="G13" s="3">
        <f t="shared" si="0"/>
        <v>15.7</v>
      </c>
      <c r="J13" t="s">
        <v>677</v>
      </c>
      <c r="K13" t="s">
        <v>671</v>
      </c>
      <c r="M13" t="s">
        <v>691</v>
      </c>
      <c r="N13" t="s">
        <v>689</v>
      </c>
      <c r="O13" t="s">
        <v>690</v>
      </c>
      <c r="P13" t="s">
        <v>689</v>
      </c>
      <c r="R13" t="s">
        <v>702</v>
      </c>
      <c r="S13" t="s">
        <v>705</v>
      </c>
    </row>
    <row r="14" spans="1:21" x14ac:dyDescent="0.2">
      <c r="A14" t="s">
        <v>613</v>
      </c>
      <c r="B14">
        <v>5</v>
      </c>
      <c r="C14" t="s">
        <v>23</v>
      </c>
      <c r="D14" t="s">
        <v>696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J14" t="s">
        <v>677</v>
      </c>
      <c r="K14" t="s">
        <v>671</v>
      </c>
      <c r="M14" t="s">
        <v>691</v>
      </c>
      <c r="N14" t="s">
        <v>691</v>
      </c>
      <c r="O14" t="s">
        <v>690</v>
      </c>
      <c r="P14" t="s">
        <v>689</v>
      </c>
      <c r="R14" t="s">
        <v>702</v>
      </c>
      <c r="S14" t="s">
        <v>705</v>
      </c>
    </row>
    <row r="15" spans="1:21" x14ac:dyDescent="0.2">
      <c r="A15" t="s">
        <v>613</v>
      </c>
      <c r="B15">
        <v>6</v>
      </c>
      <c r="C15" t="s">
        <v>24</v>
      </c>
      <c r="D15" t="s">
        <v>696</v>
      </c>
      <c r="E15" s="3">
        <v>-0.7</v>
      </c>
      <c r="F15" s="3">
        <f>49.3-49.2</f>
        <v>9.9999999999994316E-2</v>
      </c>
      <c r="G15" s="3">
        <f t="shared" si="0"/>
        <v>7.7</v>
      </c>
      <c r="J15" t="s">
        <v>677</v>
      </c>
      <c r="K15" t="s">
        <v>674</v>
      </c>
      <c r="M15" t="s">
        <v>691</v>
      </c>
      <c r="N15" t="s">
        <v>691</v>
      </c>
      <c r="O15" t="s">
        <v>690</v>
      </c>
      <c r="P15" t="s">
        <v>689</v>
      </c>
      <c r="R15" t="s">
        <v>702</v>
      </c>
      <c r="S15" t="s">
        <v>705</v>
      </c>
    </row>
    <row r="16" spans="1:21" x14ac:dyDescent="0.2">
      <c r="A16" t="s">
        <v>613</v>
      </c>
      <c r="B16">
        <v>7</v>
      </c>
      <c r="C16" t="s">
        <v>25</v>
      </c>
      <c r="D16" t="s">
        <v>697</v>
      </c>
      <c r="E16" s="3">
        <v>22.1</v>
      </c>
      <c r="F16" s="3">
        <f>65.6-32.9</f>
        <v>32.699999999999996</v>
      </c>
      <c r="G16" s="3">
        <f t="shared" si="0"/>
        <v>30.5</v>
      </c>
      <c r="J16" t="s">
        <v>677</v>
      </c>
      <c r="K16" t="s">
        <v>674</v>
      </c>
      <c r="M16" t="s">
        <v>690</v>
      </c>
      <c r="N16" t="s">
        <v>690</v>
      </c>
      <c r="O16" t="s">
        <v>690</v>
      </c>
      <c r="P16" t="s">
        <v>692</v>
      </c>
      <c r="R16" t="s">
        <v>702</v>
      </c>
      <c r="S16" t="s">
        <v>705</v>
      </c>
    </row>
    <row r="17" spans="1:19" x14ac:dyDescent="0.2">
      <c r="A17" t="s">
        <v>613</v>
      </c>
      <c r="B17">
        <v>8</v>
      </c>
      <c r="C17" t="s">
        <v>26</v>
      </c>
      <c r="D17" t="s">
        <v>696</v>
      </c>
      <c r="E17" s="3">
        <v>-16.3</v>
      </c>
      <c r="F17" s="3">
        <f>42.5-56.1</f>
        <v>-13.600000000000001</v>
      </c>
      <c r="G17" s="3">
        <f t="shared" si="0"/>
        <v>-7.9</v>
      </c>
      <c r="J17" t="s">
        <v>677</v>
      </c>
      <c r="K17" t="s">
        <v>674</v>
      </c>
      <c r="M17" t="s">
        <v>689</v>
      </c>
      <c r="N17" t="s">
        <v>691</v>
      </c>
      <c r="O17" t="s">
        <v>690</v>
      </c>
      <c r="P17" t="s">
        <v>689</v>
      </c>
      <c r="R17" t="s">
        <v>702</v>
      </c>
      <c r="S17" t="s">
        <v>705</v>
      </c>
    </row>
    <row r="18" spans="1:19" x14ac:dyDescent="0.2">
      <c r="A18" t="s">
        <v>613</v>
      </c>
      <c r="B18">
        <v>9</v>
      </c>
      <c r="C18" t="s">
        <v>27</v>
      </c>
      <c r="D18" t="s">
        <v>696</v>
      </c>
      <c r="E18" s="3">
        <v>-31</v>
      </c>
      <c r="F18" s="3">
        <f>36.4-62.2</f>
        <v>-25.800000000000004</v>
      </c>
      <c r="G18" s="3">
        <f t="shared" si="0"/>
        <v>-22.6</v>
      </c>
      <c r="J18" t="s">
        <v>677</v>
      </c>
      <c r="K18" t="s">
        <v>673</v>
      </c>
      <c r="M18" t="s">
        <v>690</v>
      </c>
      <c r="N18" t="s">
        <v>691</v>
      </c>
      <c r="O18" t="s">
        <v>690</v>
      </c>
      <c r="P18" t="s">
        <v>689</v>
      </c>
      <c r="R18" t="s">
        <v>702</v>
      </c>
      <c r="S18" t="s">
        <v>705</v>
      </c>
    </row>
    <row r="19" spans="1:19" x14ac:dyDescent="0.2">
      <c r="A19" t="s">
        <v>614</v>
      </c>
      <c r="B19">
        <v>1</v>
      </c>
      <c r="C19" t="s">
        <v>28</v>
      </c>
      <c r="D19" t="s">
        <v>696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J19" t="s">
        <v>683</v>
      </c>
      <c r="K19" t="s">
        <v>673</v>
      </c>
      <c r="M19" t="s">
        <v>690</v>
      </c>
      <c r="N19" t="s">
        <v>692</v>
      </c>
      <c r="O19" t="s">
        <v>689</v>
      </c>
      <c r="P19" t="s">
        <v>690</v>
      </c>
      <c r="R19" t="s">
        <v>702</v>
      </c>
      <c r="S19" t="s">
        <v>705</v>
      </c>
    </row>
    <row r="20" spans="1:19" x14ac:dyDescent="0.2">
      <c r="A20" t="s">
        <v>614</v>
      </c>
      <c r="B20">
        <v>2</v>
      </c>
      <c r="C20" t="s">
        <v>30</v>
      </c>
      <c r="D20" t="s">
        <v>696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J20" t="s">
        <v>683</v>
      </c>
      <c r="K20" t="s">
        <v>673</v>
      </c>
      <c r="M20" t="s">
        <v>689</v>
      </c>
      <c r="N20" t="s">
        <v>691</v>
      </c>
      <c r="O20" t="s">
        <v>689</v>
      </c>
      <c r="P20" t="s">
        <v>690</v>
      </c>
      <c r="R20" t="s">
        <v>702</v>
      </c>
      <c r="S20" t="s">
        <v>705</v>
      </c>
    </row>
    <row r="21" spans="1:19" x14ac:dyDescent="0.2">
      <c r="A21" t="s">
        <v>614</v>
      </c>
      <c r="B21">
        <v>3</v>
      </c>
      <c r="C21" t="s">
        <v>32</v>
      </c>
      <c r="D21" t="s">
        <v>696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J21" t="s">
        <v>683</v>
      </c>
      <c r="K21" t="s">
        <v>673</v>
      </c>
      <c r="M21" t="s">
        <v>689</v>
      </c>
      <c r="N21" t="s">
        <v>691</v>
      </c>
      <c r="O21" t="s">
        <v>690</v>
      </c>
      <c r="P21" t="s">
        <v>690</v>
      </c>
      <c r="R21" t="s">
        <v>702</v>
      </c>
      <c r="S21" t="s">
        <v>705</v>
      </c>
    </row>
    <row r="22" spans="1:19" x14ac:dyDescent="0.2">
      <c r="A22" t="s">
        <v>614</v>
      </c>
      <c r="B22">
        <v>4</v>
      </c>
      <c r="C22" t="s">
        <v>34</v>
      </c>
      <c r="D22" t="s">
        <v>696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J22" t="s">
        <v>683</v>
      </c>
      <c r="K22" t="s">
        <v>673</v>
      </c>
      <c r="M22" t="s">
        <v>690</v>
      </c>
      <c r="N22" t="s">
        <v>691</v>
      </c>
      <c r="O22" t="s">
        <v>689</v>
      </c>
      <c r="P22" t="s">
        <v>690</v>
      </c>
      <c r="R22" t="s">
        <v>702</v>
      </c>
      <c r="S22" t="s">
        <v>705</v>
      </c>
    </row>
    <row r="23" spans="1:19" x14ac:dyDescent="0.2">
      <c r="A23" t="s">
        <v>615</v>
      </c>
      <c r="B23">
        <v>1</v>
      </c>
      <c r="C23" t="s">
        <v>36</v>
      </c>
      <c r="D23" t="s">
        <v>698</v>
      </c>
      <c r="E23" s="3">
        <v>12.2</v>
      </c>
      <c r="F23" s="3">
        <f>57.6-39.8</f>
        <v>17.800000000000004</v>
      </c>
      <c r="G23" s="3">
        <f t="shared" si="0"/>
        <v>20.6</v>
      </c>
      <c r="J23" t="s">
        <v>669</v>
      </c>
      <c r="K23" t="s">
        <v>674</v>
      </c>
      <c r="M23" t="s">
        <v>689</v>
      </c>
      <c r="N23" t="s">
        <v>691</v>
      </c>
      <c r="O23" t="s">
        <v>690</v>
      </c>
      <c r="P23" t="s">
        <v>689</v>
      </c>
      <c r="R23" t="s">
        <v>701</v>
      </c>
      <c r="S23" t="s">
        <v>705</v>
      </c>
    </row>
    <row r="24" spans="1:19" x14ac:dyDescent="0.2">
      <c r="A24" t="s">
        <v>615</v>
      </c>
      <c r="B24">
        <v>2</v>
      </c>
      <c r="C24" t="s">
        <v>37</v>
      </c>
      <c r="D24" t="s">
        <v>697</v>
      </c>
      <c r="E24" s="3">
        <v>24.6</v>
      </c>
      <c r="F24" s="3">
        <f>63-34.6</f>
        <v>28.4</v>
      </c>
      <c r="G24" s="3">
        <f t="shared" si="0"/>
        <v>33</v>
      </c>
      <c r="J24" t="s">
        <v>669</v>
      </c>
      <c r="K24" t="s">
        <v>674</v>
      </c>
      <c r="M24" t="s">
        <v>691</v>
      </c>
      <c r="N24" t="s">
        <v>691</v>
      </c>
      <c r="O24" t="s">
        <v>690</v>
      </c>
      <c r="P24" t="s">
        <v>690</v>
      </c>
      <c r="R24" t="s">
        <v>701</v>
      </c>
      <c r="S24" t="s">
        <v>705</v>
      </c>
    </row>
    <row r="25" spans="1:19" x14ac:dyDescent="0.2">
      <c r="A25" t="s">
        <v>615</v>
      </c>
      <c r="B25">
        <v>3</v>
      </c>
      <c r="C25" t="s">
        <v>38</v>
      </c>
      <c r="D25" t="s">
        <v>696</v>
      </c>
      <c r="E25" s="3">
        <v>10.1</v>
      </c>
      <c r="F25" s="3">
        <f>55.7-41.7</f>
        <v>14</v>
      </c>
      <c r="G25" s="3">
        <f t="shared" si="0"/>
        <v>18.5</v>
      </c>
      <c r="J25" t="s">
        <v>669</v>
      </c>
      <c r="K25" t="s">
        <v>674</v>
      </c>
      <c r="M25" t="s">
        <v>691</v>
      </c>
      <c r="N25" t="s">
        <v>691</v>
      </c>
      <c r="O25" t="s">
        <v>690</v>
      </c>
      <c r="P25" t="s">
        <v>689</v>
      </c>
      <c r="R25" t="s">
        <v>701</v>
      </c>
      <c r="S25" t="s">
        <v>705</v>
      </c>
    </row>
    <row r="26" spans="1:19" x14ac:dyDescent="0.2">
      <c r="A26" t="s">
        <v>615</v>
      </c>
      <c r="B26">
        <v>4</v>
      </c>
      <c r="C26" t="s">
        <v>39</v>
      </c>
      <c r="D26" t="s">
        <v>697</v>
      </c>
      <c r="E26" s="3">
        <v>14.5</v>
      </c>
      <c r="F26" s="3">
        <f>59.4-38.3</f>
        <v>21.1</v>
      </c>
      <c r="G26" s="3">
        <f t="shared" si="0"/>
        <v>22.9</v>
      </c>
      <c r="J26" t="s">
        <v>669</v>
      </c>
      <c r="K26" t="s">
        <v>674</v>
      </c>
      <c r="M26" t="s">
        <v>689</v>
      </c>
      <c r="N26" t="s">
        <v>689</v>
      </c>
      <c r="O26" t="s">
        <v>690</v>
      </c>
      <c r="P26" t="s">
        <v>689</v>
      </c>
      <c r="R26" t="s">
        <v>701</v>
      </c>
      <c r="S26" t="s">
        <v>705</v>
      </c>
    </row>
    <row r="27" spans="1:19" x14ac:dyDescent="0.2">
      <c r="A27" t="s">
        <v>615</v>
      </c>
      <c r="B27">
        <v>5</v>
      </c>
      <c r="C27" t="s">
        <v>40</v>
      </c>
      <c r="D27" t="s">
        <v>696</v>
      </c>
      <c r="E27" s="3">
        <v>-20.6</v>
      </c>
      <c r="F27" s="3">
        <f>41.7-56.2</f>
        <v>-14.5</v>
      </c>
      <c r="G27" s="3">
        <f t="shared" si="0"/>
        <v>-12.200000000000001</v>
      </c>
      <c r="J27" t="s">
        <v>669</v>
      </c>
      <c r="K27" t="s">
        <v>673</v>
      </c>
      <c r="M27" t="s">
        <v>689</v>
      </c>
      <c r="N27" t="s">
        <v>689</v>
      </c>
      <c r="O27" t="s">
        <v>690</v>
      </c>
      <c r="P27" t="s">
        <v>689</v>
      </c>
      <c r="R27" t="s">
        <v>701</v>
      </c>
      <c r="S27" t="s">
        <v>705</v>
      </c>
    </row>
    <row r="28" spans="1:19" x14ac:dyDescent="0.2">
      <c r="A28" t="s">
        <v>615</v>
      </c>
      <c r="B28">
        <v>6</v>
      </c>
      <c r="C28" t="s">
        <v>36</v>
      </c>
      <c r="D28" t="s">
        <v>697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J28" t="s">
        <v>669</v>
      </c>
      <c r="K28" t="s">
        <v>674</v>
      </c>
      <c r="M28" t="s">
        <v>689</v>
      </c>
      <c r="N28" t="s">
        <v>689</v>
      </c>
      <c r="O28" t="s">
        <v>690</v>
      </c>
      <c r="P28" t="s">
        <v>689</v>
      </c>
      <c r="R28" t="s">
        <v>701</v>
      </c>
      <c r="S28" t="s">
        <v>705</v>
      </c>
    </row>
    <row r="29" spans="1:19" x14ac:dyDescent="0.2">
      <c r="A29" t="s">
        <v>615</v>
      </c>
      <c r="B29">
        <v>7</v>
      </c>
      <c r="C29" t="s">
        <v>41</v>
      </c>
      <c r="D29" t="s">
        <v>697</v>
      </c>
      <c r="E29" s="3">
        <v>12.8</v>
      </c>
      <c r="F29" s="3">
        <f>58.7-39.1</f>
        <v>19.600000000000001</v>
      </c>
      <c r="G29" s="3">
        <f t="shared" si="0"/>
        <v>21.200000000000003</v>
      </c>
      <c r="J29" t="s">
        <v>669</v>
      </c>
      <c r="K29" t="s">
        <v>674</v>
      </c>
      <c r="M29" t="s">
        <v>689</v>
      </c>
      <c r="N29" t="s">
        <v>690</v>
      </c>
      <c r="O29" t="s">
        <v>689</v>
      </c>
      <c r="P29" t="s">
        <v>689</v>
      </c>
      <c r="R29" t="s">
        <v>701</v>
      </c>
      <c r="S29" t="s">
        <v>705</v>
      </c>
    </row>
    <row r="30" spans="1:19" x14ac:dyDescent="0.2">
      <c r="A30" t="s">
        <v>615</v>
      </c>
      <c r="B30">
        <v>8</v>
      </c>
      <c r="C30" t="s">
        <v>42</v>
      </c>
      <c r="D30" t="s">
        <v>697</v>
      </c>
      <c r="E30" s="3">
        <v>34</v>
      </c>
      <c r="F30" s="3">
        <f>70.2-27.6</f>
        <v>42.6</v>
      </c>
      <c r="G30" s="3">
        <f t="shared" si="0"/>
        <v>42.4</v>
      </c>
      <c r="J30" t="s">
        <v>669</v>
      </c>
      <c r="K30" t="s">
        <v>672</v>
      </c>
      <c r="M30" t="s">
        <v>689</v>
      </c>
      <c r="N30" t="s">
        <v>690</v>
      </c>
      <c r="O30" t="s">
        <v>689</v>
      </c>
      <c r="P30" t="s">
        <v>689</v>
      </c>
      <c r="R30" t="s">
        <v>701</v>
      </c>
      <c r="S30" t="s">
        <v>705</v>
      </c>
    </row>
    <row r="31" spans="1:19" x14ac:dyDescent="0.2">
      <c r="A31" t="s">
        <v>615</v>
      </c>
      <c r="B31">
        <v>9</v>
      </c>
      <c r="C31" t="s">
        <v>43</v>
      </c>
      <c r="D31" t="s">
        <v>697</v>
      </c>
      <c r="E31" s="3">
        <v>11.4</v>
      </c>
      <c r="F31" s="3">
        <f>62-35.8</f>
        <v>26.200000000000003</v>
      </c>
      <c r="G31" s="3">
        <f t="shared" si="0"/>
        <v>19.8</v>
      </c>
      <c r="J31" t="s">
        <v>669</v>
      </c>
      <c r="K31" t="s">
        <v>672</v>
      </c>
      <c r="M31" t="s">
        <v>690</v>
      </c>
      <c r="N31" t="s">
        <v>690</v>
      </c>
      <c r="O31" t="s">
        <v>689</v>
      </c>
      <c r="P31" t="s">
        <v>691</v>
      </c>
      <c r="R31" t="s">
        <v>701</v>
      </c>
      <c r="S31" t="s">
        <v>705</v>
      </c>
    </row>
    <row r="32" spans="1:19" x14ac:dyDescent="0.2">
      <c r="A32" t="s">
        <v>615</v>
      </c>
      <c r="B32">
        <v>10</v>
      </c>
      <c r="C32" t="s">
        <v>44</v>
      </c>
      <c r="D32" t="s">
        <v>697</v>
      </c>
      <c r="E32" s="3">
        <v>33.5</v>
      </c>
      <c r="F32" s="3">
        <f>68.2-29.6</f>
        <v>38.6</v>
      </c>
      <c r="G32" s="3">
        <f t="shared" si="0"/>
        <v>41.9</v>
      </c>
      <c r="J32" t="s">
        <v>669</v>
      </c>
      <c r="K32" t="s">
        <v>671</v>
      </c>
      <c r="M32" t="s">
        <v>692</v>
      </c>
      <c r="N32" t="s">
        <v>689</v>
      </c>
      <c r="O32" t="s">
        <v>690</v>
      </c>
      <c r="P32" t="s">
        <v>689</v>
      </c>
      <c r="R32" t="s">
        <v>701</v>
      </c>
      <c r="S32" t="s">
        <v>705</v>
      </c>
    </row>
    <row r="33" spans="1:19" x14ac:dyDescent="0.2">
      <c r="A33" t="s">
        <v>615</v>
      </c>
      <c r="B33">
        <v>11</v>
      </c>
      <c r="C33" t="s">
        <v>45</v>
      </c>
      <c r="D33" t="s">
        <v>697</v>
      </c>
      <c r="E33" s="3">
        <v>67.7</v>
      </c>
      <c r="F33" s="3">
        <f>86.3-11.7</f>
        <v>74.599999999999994</v>
      </c>
      <c r="G33" s="3">
        <f t="shared" si="0"/>
        <v>76.100000000000009</v>
      </c>
      <c r="J33" t="s">
        <v>669</v>
      </c>
      <c r="K33" t="s">
        <v>670</v>
      </c>
      <c r="M33" t="s">
        <v>692</v>
      </c>
      <c r="N33" t="s">
        <v>690</v>
      </c>
      <c r="O33" t="s">
        <v>690</v>
      </c>
      <c r="P33" t="s">
        <v>690</v>
      </c>
      <c r="R33" t="s">
        <v>701</v>
      </c>
      <c r="S33" t="s">
        <v>705</v>
      </c>
    </row>
    <row r="34" spans="1:19" x14ac:dyDescent="0.2">
      <c r="A34" t="s">
        <v>615</v>
      </c>
      <c r="B34">
        <v>12</v>
      </c>
      <c r="C34" t="s">
        <v>46</v>
      </c>
      <c r="D34" t="s">
        <v>697</v>
      </c>
      <c r="E34" s="3">
        <v>73.8</v>
      </c>
      <c r="F34" s="3">
        <f>89.3-8.6</f>
        <v>80.7</v>
      </c>
      <c r="G34" s="3">
        <f t="shared" si="0"/>
        <v>82.2</v>
      </c>
      <c r="J34" t="s">
        <v>669</v>
      </c>
      <c r="K34" t="s">
        <v>670</v>
      </c>
      <c r="M34" t="s">
        <v>692</v>
      </c>
      <c r="N34" t="s">
        <v>690</v>
      </c>
      <c r="O34" t="s">
        <v>689</v>
      </c>
      <c r="P34" t="s">
        <v>689</v>
      </c>
      <c r="R34" t="s">
        <v>701</v>
      </c>
      <c r="S34" t="s">
        <v>705</v>
      </c>
    </row>
    <row r="35" spans="1:19" x14ac:dyDescent="0.2">
      <c r="A35" t="s">
        <v>615</v>
      </c>
      <c r="B35">
        <v>13</v>
      </c>
      <c r="C35" t="s">
        <v>47</v>
      </c>
      <c r="D35" t="s">
        <v>697</v>
      </c>
      <c r="E35" s="3">
        <v>0.4</v>
      </c>
      <c r="F35" s="3">
        <f>57.7-40</f>
        <v>17.700000000000003</v>
      </c>
      <c r="G35" s="3">
        <f t="shared" si="0"/>
        <v>8.8000000000000007</v>
      </c>
      <c r="J35" t="s">
        <v>669</v>
      </c>
      <c r="K35" t="s">
        <v>674</v>
      </c>
      <c r="M35" t="s">
        <v>690</v>
      </c>
      <c r="N35" t="s">
        <v>690</v>
      </c>
      <c r="O35" t="s">
        <v>690</v>
      </c>
      <c r="P35" t="s">
        <v>692</v>
      </c>
      <c r="R35" t="s">
        <v>701</v>
      </c>
      <c r="S35" t="s">
        <v>705</v>
      </c>
    </row>
    <row r="36" spans="1:19" x14ac:dyDescent="0.2">
      <c r="A36" t="s">
        <v>615</v>
      </c>
      <c r="B36">
        <v>14</v>
      </c>
      <c r="C36" t="s">
        <v>48</v>
      </c>
      <c r="D36" t="s">
        <v>698</v>
      </c>
      <c r="E36" s="3">
        <v>34.700000000000003</v>
      </c>
      <c r="F36" s="3">
        <f>71.7-26.2</f>
        <v>45.5</v>
      </c>
      <c r="G36" s="3">
        <f t="shared" si="0"/>
        <v>43.1</v>
      </c>
      <c r="J36" t="s">
        <v>669</v>
      </c>
      <c r="K36" t="s">
        <v>671</v>
      </c>
      <c r="M36" t="s">
        <v>692</v>
      </c>
      <c r="N36" t="s">
        <v>690</v>
      </c>
      <c r="O36" t="s">
        <v>690</v>
      </c>
      <c r="P36" t="s">
        <v>689</v>
      </c>
      <c r="R36" t="s">
        <v>701</v>
      </c>
      <c r="S36" t="s">
        <v>705</v>
      </c>
    </row>
    <row r="37" spans="1:19" x14ac:dyDescent="0.2">
      <c r="A37" t="s">
        <v>615</v>
      </c>
      <c r="B37">
        <v>15</v>
      </c>
      <c r="C37" t="s">
        <v>49</v>
      </c>
      <c r="D37" t="s">
        <v>697</v>
      </c>
      <c r="E37" s="3">
        <v>47.8</v>
      </c>
      <c r="F37" s="3">
        <f>77.7-20.4</f>
        <v>57.300000000000004</v>
      </c>
      <c r="G37" s="3">
        <f t="shared" si="0"/>
        <v>56.199999999999996</v>
      </c>
      <c r="J37" t="s">
        <v>669</v>
      </c>
      <c r="K37" t="s">
        <v>671</v>
      </c>
      <c r="M37" t="s">
        <v>691</v>
      </c>
      <c r="N37" t="s">
        <v>690</v>
      </c>
      <c r="O37" t="s">
        <v>690</v>
      </c>
      <c r="P37" t="s">
        <v>689</v>
      </c>
      <c r="R37" t="s">
        <v>701</v>
      </c>
      <c r="S37" t="s">
        <v>705</v>
      </c>
    </row>
    <row r="38" spans="1:19" x14ac:dyDescent="0.2">
      <c r="A38" t="s">
        <v>615</v>
      </c>
      <c r="B38">
        <v>16</v>
      </c>
      <c r="C38" t="s">
        <v>50</v>
      </c>
      <c r="D38" t="s">
        <v>697</v>
      </c>
      <c r="E38" s="3">
        <v>48.1</v>
      </c>
      <c r="F38" s="3">
        <f>75.3-22.5</f>
        <v>52.8</v>
      </c>
      <c r="G38" s="3">
        <f t="shared" si="0"/>
        <v>56.5</v>
      </c>
      <c r="J38" t="s">
        <v>669</v>
      </c>
      <c r="K38" t="s">
        <v>671</v>
      </c>
      <c r="M38" t="s">
        <v>692</v>
      </c>
      <c r="N38" t="s">
        <v>689</v>
      </c>
      <c r="O38" t="s">
        <v>690</v>
      </c>
      <c r="P38" t="s">
        <v>689</v>
      </c>
      <c r="R38" t="s">
        <v>701</v>
      </c>
      <c r="S38" t="s">
        <v>705</v>
      </c>
    </row>
    <row r="39" spans="1:19" x14ac:dyDescent="0.2">
      <c r="A39" t="s">
        <v>615</v>
      </c>
      <c r="B39">
        <v>17</v>
      </c>
      <c r="C39" t="s">
        <v>51</v>
      </c>
      <c r="D39" t="s">
        <v>697</v>
      </c>
      <c r="E39" s="3">
        <v>38.9</v>
      </c>
      <c r="F39" s="3">
        <f>73.1-24.9</f>
        <v>48.199999999999996</v>
      </c>
      <c r="G39" s="3">
        <f t="shared" si="0"/>
        <v>47.3</v>
      </c>
      <c r="J39" t="s">
        <v>669</v>
      </c>
      <c r="K39" t="s">
        <v>670</v>
      </c>
      <c r="M39" t="s">
        <v>692</v>
      </c>
      <c r="N39" t="s">
        <v>690</v>
      </c>
      <c r="O39" t="s">
        <v>690</v>
      </c>
      <c r="P39" t="s">
        <v>689</v>
      </c>
      <c r="R39" t="s">
        <v>701</v>
      </c>
      <c r="S39" t="s">
        <v>705</v>
      </c>
    </row>
    <row r="40" spans="1:19" x14ac:dyDescent="0.2">
      <c r="A40" t="s">
        <v>615</v>
      </c>
      <c r="B40">
        <v>18</v>
      </c>
      <c r="C40" t="s">
        <v>52</v>
      </c>
      <c r="D40" t="s">
        <v>697</v>
      </c>
      <c r="E40" s="3">
        <v>28.4</v>
      </c>
      <c r="F40" s="3">
        <f>70.3-27.6</f>
        <v>42.699999999999996</v>
      </c>
      <c r="G40" s="3">
        <f t="shared" si="0"/>
        <v>36.799999999999997</v>
      </c>
      <c r="J40" t="s">
        <v>669</v>
      </c>
      <c r="K40" t="s">
        <v>674</v>
      </c>
      <c r="M40" t="s">
        <v>690</v>
      </c>
      <c r="N40" t="s">
        <v>690</v>
      </c>
      <c r="O40" t="s">
        <v>690</v>
      </c>
      <c r="P40" t="s">
        <v>692</v>
      </c>
      <c r="R40" t="s">
        <v>701</v>
      </c>
      <c r="S40" t="s">
        <v>705</v>
      </c>
    </row>
    <row r="41" spans="1:19" x14ac:dyDescent="0.2">
      <c r="A41" t="s">
        <v>615</v>
      </c>
      <c r="B41">
        <v>19</v>
      </c>
      <c r="C41" t="s">
        <v>53</v>
      </c>
      <c r="D41" t="s">
        <v>697</v>
      </c>
      <c r="E41" s="3">
        <v>34.299999999999997</v>
      </c>
      <c r="F41" s="3">
        <f>68.7-29.1</f>
        <v>39.6</v>
      </c>
      <c r="G41" s="3">
        <f t="shared" si="0"/>
        <v>42.699999999999996</v>
      </c>
      <c r="J41" t="s">
        <v>669</v>
      </c>
      <c r="K41" t="s">
        <v>674</v>
      </c>
      <c r="M41" t="s">
        <v>691</v>
      </c>
      <c r="N41" t="s">
        <v>689</v>
      </c>
      <c r="O41" t="s">
        <v>690</v>
      </c>
      <c r="P41" t="s">
        <v>689</v>
      </c>
      <c r="R41" t="s">
        <v>701</v>
      </c>
      <c r="S41" t="s">
        <v>705</v>
      </c>
    </row>
    <row r="42" spans="1:19" x14ac:dyDescent="0.2">
      <c r="A42" t="s">
        <v>615</v>
      </c>
      <c r="B42">
        <v>20</v>
      </c>
      <c r="C42" t="s">
        <v>54</v>
      </c>
      <c r="D42" t="s">
        <v>696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J42" t="s">
        <v>669</v>
      </c>
      <c r="K42" t="s">
        <v>673</v>
      </c>
      <c r="M42" t="s">
        <v>690</v>
      </c>
      <c r="N42" t="s">
        <v>689</v>
      </c>
      <c r="O42" t="s">
        <v>690</v>
      </c>
      <c r="P42" t="s">
        <v>691</v>
      </c>
      <c r="R42" t="s">
        <v>701</v>
      </c>
      <c r="S42" t="s">
        <v>705</v>
      </c>
    </row>
    <row r="43" spans="1:19" x14ac:dyDescent="0.2">
      <c r="A43" t="s">
        <v>615</v>
      </c>
      <c r="B43">
        <v>21</v>
      </c>
      <c r="C43" t="s">
        <v>55</v>
      </c>
      <c r="D43" t="s">
        <v>697</v>
      </c>
      <c r="E43" s="3">
        <v>6</v>
      </c>
      <c r="F43" s="3">
        <f>59.5-38.4</f>
        <v>21.1</v>
      </c>
      <c r="G43" s="3">
        <f t="shared" si="0"/>
        <v>14.4</v>
      </c>
      <c r="J43" t="s">
        <v>669</v>
      </c>
      <c r="K43" t="s">
        <v>674</v>
      </c>
      <c r="M43" t="s">
        <v>690</v>
      </c>
      <c r="N43" t="s">
        <v>690</v>
      </c>
      <c r="O43" t="s">
        <v>690</v>
      </c>
      <c r="P43" t="s">
        <v>692</v>
      </c>
      <c r="R43" t="s">
        <v>701</v>
      </c>
      <c r="S43" t="s">
        <v>705</v>
      </c>
    </row>
    <row r="44" spans="1:19" x14ac:dyDescent="0.2">
      <c r="A44" t="s">
        <v>615</v>
      </c>
      <c r="B44">
        <v>22</v>
      </c>
      <c r="C44" t="s">
        <v>56</v>
      </c>
      <c r="D44" t="s">
        <v>696</v>
      </c>
      <c r="E44" s="3">
        <v>-1.8</v>
      </c>
      <c r="F44" s="3">
        <f>57.3-40.3</f>
        <v>17</v>
      </c>
      <c r="G44" s="3">
        <f t="shared" si="0"/>
        <v>6.6000000000000005</v>
      </c>
      <c r="J44" t="s">
        <v>669</v>
      </c>
      <c r="K44" t="s">
        <v>673</v>
      </c>
      <c r="M44" t="s">
        <v>690</v>
      </c>
      <c r="N44" t="s">
        <v>690</v>
      </c>
      <c r="O44" t="s">
        <v>690</v>
      </c>
      <c r="P44" t="s">
        <v>692</v>
      </c>
      <c r="R44" t="s">
        <v>701</v>
      </c>
      <c r="S44" t="s">
        <v>705</v>
      </c>
    </row>
    <row r="45" spans="1:19" x14ac:dyDescent="0.2">
      <c r="A45" t="s">
        <v>615</v>
      </c>
      <c r="B45">
        <v>23</v>
      </c>
      <c r="C45" t="s">
        <v>57</v>
      </c>
      <c r="D45" t="s">
        <v>696</v>
      </c>
      <c r="E45" s="3">
        <v>-19.3</v>
      </c>
      <c r="F45" s="3">
        <f>42.8-54.9</f>
        <v>-12.100000000000001</v>
      </c>
      <c r="G45" s="3">
        <f t="shared" si="0"/>
        <v>-10.9</v>
      </c>
      <c r="J45" t="s">
        <v>669</v>
      </c>
      <c r="K45" t="s">
        <v>673</v>
      </c>
      <c r="M45" t="s">
        <v>690</v>
      </c>
      <c r="N45" t="s">
        <v>690</v>
      </c>
      <c r="O45" t="s">
        <v>690</v>
      </c>
      <c r="P45" t="s">
        <v>691</v>
      </c>
      <c r="R45" t="s">
        <v>701</v>
      </c>
      <c r="S45" t="s">
        <v>705</v>
      </c>
    </row>
    <row r="46" spans="1:19" x14ac:dyDescent="0.2">
      <c r="A46" t="s">
        <v>615</v>
      </c>
      <c r="B46">
        <v>24</v>
      </c>
      <c r="C46" t="s">
        <v>58</v>
      </c>
      <c r="D46" t="s">
        <v>697</v>
      </c>
      <c r="E46" s="3">
        <v>24.9</v>
      </c>
      <c r="F46" s="3">
        <f>63.3-34.3</f>
        <v>29</v>
      </c>
      <c r="G46" s="3">
        <f t="shared" si="0"/>
        <v>33.299999999999997</v>
      </c>
      <c r="J46" t="s">
        <v>669</v>
      </c>
      <c r="K46" t="s">
        <v>674</v>
      </c>
      <c r="M46" t="s">
        <v>691</v>
      </c>
      <c r="N46" t="s">
        <v>689</v>
      </c>
      <c r="O46" t="s">
        <v>690</v>
      </c>
      <c r="P46" t="s">
        <v>691</v>
      </c>
      <c r="R46" t="s">
        <v>701</v>
      </c>
      <c r="S46" t="s">
        <v>705</v>
      </c>
    </row>
    <row r="47" spans="1:19" x14ac:dyDescent="0.2">
      <c r="A47" t="s">
        <v>615</v>
      </c>
      <c r="B47">
        <v>25</v>
      </c>
      <c r="C47" t="s">
        <v>59</v>
      </c>
      <c r="D47" t="s">
        <v>697</v>
      </c>
      <c r="E47" s="3">
        <v>5.8</v>
      </c>
      <c r="F47" s="3">
        <f>57.3-40.8</f>
        <v>16.5</v>
      </c>
      <c r="G47" s="3">
        <f t="shared" si="0"/>
        <v>14.2</v>
      </c>
      <c r="J47" t="s">
        <v>669</v>
      </c>
      <c r="K47" t="s">
        <v>674</v>
      </c>
      <c r="M47" t="s">
        <v>690</v>
      </c>
      <c r="N47" t="s">
        <v>690</v>
      </c>
      <c r="O47" t="s">
        <v>690</v>
      </c>
      <c r="P47" t="s">
        <v>692</v>
      </c>
      <c r="R47" t="s">
        <v>701</v>
      </c>
      <c r="S47" t="s">
        <v>705</v>
      </c>
    </row>
    <row r="48" spans="1:19" x14ac:dyDescent="0.2">
      <c r="A48" t="s">
        <v>615</v>
      </c>
      <c r="B48">
        <v>26</v>
      </c>
      <c r="C48" t="s">
        <v>60</v>
      </c>
      <c r="D48" t="s">
        <v>697</v>
      </c>
      <c r="E48" s="3">
        <v>15.2</v>
      </c>
      <c r="F48" s="3">
        <f>60.2-37.8</f>
        <v>22.400000000000006</v>
      </c>
      <c r="G48" s="3">
        <f t="shared" si="0"/>
        <v>23.6</v>
      </c>
      <c r="J48" t="s">
        <v>669</v>
      </c>
      <c r="K48" t="s">
        <v>671</v>
      </c>
      <c r="M48" t="s">
        <v>691</v>
      </c>
      <c r="N48" t="s">
        <v>689</v>
      </c>
      <c r="O48" t="s">
        <v>690</v>
      </c>
      <c r="P48" t="s">
        <v>691</v>
      </c>
      <c r="R48" t="s">
        <v>701</v>
      </c>
      <c r="S48" t="s">
        <v>705</v>
      </c>
    </row>
    <row r="49" spans="1:19" x14ac:dyDescent="0.2">
      <c r="A49" t="s">
        <v>615</v>
      </c>
      <c r="B49">
        <v>27</v>
      </c>
      <c r="C49" t="s">
        <v>61</v>
      </c>
      <c r="D49" t="s">
        <v>697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J49" t="s">
        <v>669</v>
      </c>
      <c r="K49" t="s">
        <v>674</v>
      </c>
      <c r="M49" t="s">
        <v>689</v>
      </c>
      <c r="N49" t="s">
        <v>690</v>
      </c>
      <c r="O49" t="s">
        <v>689</v>
      </c>
      <c r="P49" t="s">
        <v>691</v>
      </c>
      <c r="R49" t="s">
        <v>701</v>
      </c>
      <c r="S49" t="s">
        <v>705</v>
      </c>
    </row>
    <row r="50" spans="1:19" x14ac:dyDescent="0.2">
      <c r="A50" t="s">
        <v>615</v>
      </c>
      <c r="B50">
        <v>28</v>
      </c>
      <c r="C50" t="s">
        <v>62</v>
      </c>
      <c r="D50" t="s">
        <v>697</v>
      </c>
      <c r="E50" s="3">
        <v>25.2</v>
      </c>
      <c r="F50" s="3">
        <f>65.4-32.7</f>
        <v>32.700000000000003</v>
      </c>
      <c r="G50" s="3">
        <f t="shared" si="0"/>
        <v>33.6</v>
      </c>
      <c r="J50" t="s">
        <v>669</v>
      </c>
      <c r="K50" t="s">
        <v>674</v>
      </c>
      <c r="M50" t="s">
        <v>691</v>
      </c>
      <c r="N50" t="s">
        <v>690</v>
      </c>
      <c r="O50" t="s">
        <v>690</v>
      </c>
      <c r="P50" t="s">
        <v>689</v>
      </c>
      <c r="R50" t="s">
        <v>701</v>
      </c>
      <c r="S50" t="s">
        <v>705</v>
      </c>
    </row>
    <row r="51" spans="1:19" x14ac:dyDescent="0.2">
      <c r="A51" t="s">
        <v>615</v>
      </c>
      <c r="B51">
        <v>29</v>
      </c>
      <c r="C51" t="s">
        <v>63</v>
      </c>
      <c r="D51" t="s">
        <v>697</v>
      </c>
      <c r="E51" s="3">
        <v>33.6</v>
      </c>
      <c r="F51" s="3">
        <f>73.9-24</f>
        <v>49.900000000000006</v>
      </c>
      <c r="G51" s="3">
        <f t="shared" si="0"/>
        <v>42</v>
      </c>
      <c r="J51" t="s">
        <v>669</v>
      </c>
      <c r="K51" t="s">
        <v>670</v>
      </c>
      <c r="M51" t="s">
        <v>690</v>
      </c>
      <c r="N51" t="s">
        <v>690</v>
      </c>
      <c r="O51" t="s">
        <v>690</v>
      </c>
      <c r="P51" t="s">
        <v>692</v>
      </c>
      <c r="R51" t="s">
        <v>701</v>
      </c>
      <c r="S51" t="s">
        <v>705</v>
      </c>
    </row>
    <row r="52" spans="1:19" x14ac:dyDescent="0.2">
      <c r="A52" t="s">
        <v>615</v>
      </c>
      <c r="B52">
        <v>30</v>
      </c>
      <c r="C52" t="s">
        <v>64</v>
      </c>
      <c r="D52" t="s">
        <v>697</v>
      </c>
      <c r="E52" s="3">
        <v>39.9</v>
      </c>
      <c r="F52" s="3">
        <f>71.6-26.6</f>
        <v>44.999999999999993</v>
      </c>
      <c r="G52" s="3">
        <f t="shared" si="0"/>
        <v>48.3</v>
      </c>
      <c r="J52" t="s">
        <v>669</v>
      </c>
      <c r="K52" t="s">
        <v>674</v>
      </c>
      <c r="M52" t="s">
        <v>692</v>
      </c>
      <c r="N52" t="s">
        <v>689</v>
      </c>
      <c r="O52" t="s">
        <v>690</v>
      </c>
      <c r="P52" t="s">
        <v>689</v>
      </c>
      <c r="R52" t="s">
        <v>701</v>
      </c>
      <c r="S52" t="s">
        <v>705</v>
      </c>
    </row>
    <row r="53" spans="1:19" x14ac:dyDescent="0.2">
      <c r="A53" t="s">
        <v>615</v>
      </c>
      <c r="B53">
        <v>31</v>
      </c>
      <c r="C53" t="s">
        <v>65</v>
      </c>
      <c r="D53" t="s">
        <v>697</v>
      </c>
      <c r="E53" s="3">
        <v>12.2</v>
      </c>
      <c r="F53" s="3">
        <f>61.5-36.4</f>
        <v>25.1</v>
      </c>
      <c r="G53" s="3">
        <f t="shared" si="0"/>
        <v>20.6</v>
      </c>
      <c r="J53" t="s">
        <v>669</v>
      </c>
      <c r="K53" t="s">
        <v>671</v>
      </c>
      <c r="M53" t="s">
        <v>689</v>
      </c>
      <c r="N53" t="s">
        <v>690</v>
      </c>
      <c r="O53" t="s">
        <v>690</v>
      </c>
      <c r="P53" t="s">
        <v>692</v>
      </c>
      <c r="R53" t="s">
        <v>701</v>
      </c>
      <c r="S53" t="s">
        <v>705</v>
      </c>
    </row>
    <row r="54" spans="1:19" x14ac:dyDescent="0.2">
      <c r="A54" t="s">
        <v>615</v>
      </c>
      <c r="B54">
        <v>32</v>
      </c>
      <c r="C54" t="s">
        <v>66</v>
      </c>
      <c r="D54" t="s">
        <v>697</v>
      </c>
      <c r="E54" s="3">
        <v>25</v>
      </c>
      <c r="F54" s="3">
        <f>65.9-32.2</f>
        <v>33.700000000000003</v>
      </c>
      <c r="G54" s="3">
        <f t="shared" si="0"/>
        <v>33.4</v>
      </c>
      <c r="J54" t="s">
        <v>669</v>
      </c>
      <c r="K54" t="s">
        <v>671</v>
      </c>
      <c r="M54" t="s">
        <v>692</v>
      </c>
      <c r="N54" t="s">
        <v>689</v>
      </c>
      <c r="O54" t="s">
        <v>690</v>
      </c>
      <c r="P54" t="s">
        <v>689</v>
      </c>
      <c r="R54" t="s">
        <v>701</v>
      </c>
      <c r="S54" t="s">
        <v>705</v>
      </c>
    </row>
    <row r="55" spans="1:19" x14ac:dyDescent="0.2">
      <c r="A55" t="s">
        <v>615</v>
      </c>
      <c r="B55">
        <v>33</v>
      </c>
      <c r="C55" t="s">
        <v>67</v>
      </c>
      <c r="D55" t="s">
        <v>697</v>
      </c>
      <c r="E55" s="3">
        <v>9.8000000000000007</v>
      </c>
      <c r="F55" s="3">
        <f>61.8-35.9</f>
        <v>25.9</v>
      </c>
      <c r="G55" s="3">
        <f t="shared" si="0"/>
        <v>18.200000000000003</v>
      </c>
      <c r="J55" t="s">
        <v>669</v>
      </c>
      <c r="K55" t="s">
        <v>671</v>
      </c>
      <c r="M55" t="s">
        <v>690</v>
      </c>
      <c r="N55" t="s">
        <v>690</v>
      </c>
      <c r="O55" t="s">
        <v>689</v>
      </c>
      <c r="P55" t="s">
        <v>692</v>
      </c>
      <c r="R55" t="s">
        <v>701</v>
      </c>
      <c r="S55" t="s">
        <v>705</v>
      </c>
    </row>
    <row r="56" spans="1:19" x14ac:dyDescent="0.2">
      <c r="A56" t="s">
        <v>615</v>
      </c>
      <c r="B56">
        <v>34</v>
      </c>
      <c r="C56" t="s">
        <v>68</v>
      </c>
      <c r="D56" t="s">
        <v>697</v>
      </c>
      <c r="E56" s="3">
        <v>50.6</v>
      </c>
      <c r="F56" s="3">
        <f>80.9-16.7</f>
        <v>64.2</v>
      </c>
      <c r="G56" s="3">
        <f t="shared" si="0"/>
        <v>59</v>
      </c>
      <c r="J56" t="s">
        <v>669</v>
      </c>
      <c r="K56" t="s">
        <v>670</v>
      </c>
      <c r="M56" t="s">
        <v>689</v>
      </c>
      <c r="N56" t="s">
        <v>690</v>
      </c>
      <c r="O56" t="s">
        <v>690</v>
      </c>
      <c r="P56" t="s">
        <v>692</v>
      </c>
      <c r="R56" t="s">
        <v>701</v>
      </c>
      <c r="S56" t="s">
        <v>705</v>
      </c>
    </row>
    <row r="57" spans="1:19" x14ac:dyDescent="0.2">
      <c r="A57" t="s">
        <v>615</v>
      </c>
      <c r="B57">
        <v>35</v>
      </c>
      <c r="C57" t="s">
        <v>69</v>
      </c>
      <c r="D57" t="s">
        <v>697</v>
      </c>
      <c r="E57" s="3">
        <v>7.7</v>
      </c>
      <c r="F57" s="3">
        <f>60.7-37.2</f>
        <v>23.5</v>
      </c>
      <c r="G57" s="3">
        <f t="shared" si="0"/>
        <v>16.100000000000001</v>
      </c>
      <c r="J57" t="s">
        <v>669</v>
      </c>
      <c r="K57" t="s">
        <v>670</v>
      </c>
      <c r="M57" t="s">
        <v>690</v>
      </c>
      <c r="N57" t="s">
        <v>690</v>
      </c>
      <c r="O57" t="s">
        <v>690</v>
      </c>
      <c r="P57" t="s">
        <v>692</v>
      </c>
      <c r="R57" t="s">
        <v>701</v>
      </c>
      <c r="S57" t="s">
        <v>705</v>
      </c>
    </row>
    <row r="58" spans="1:19" x14ac:dyDescent="0.2">
      <c r="A58" t="s">
        <v>615</v>
      </c>
      <c r="B58">
        <v>36</v>
      </c>
      <c r="C58" t="s">
        <v>70</v>
      </c>
      <c r="D58" t="s">
        <v>697</v>
      </c>
      <c r="E58" s="3">
        <v>39</v>
      </c>
      <c r="F58" s="3">
        <f>71-26.9</f>
        <v>44.1</v>
      </c>
      <c r="G58" s="3">
        <f t="shared" si="0"/>
        <v>47.4</v>
      </c>
      <c r="J58" t="s">
        <v>669</v>
      </c>
      <c r="K58" t="s">
        <v>670</v>
      </c>
      <c r="M58" t="s">
        <v>692</v>
      </c>
      <c r="N58" t="s">
        <v>689</v>
      </c>
      <c r="O58" t="s">
        <v>689</v>
      </c>
      <c r="P58" t="s">
        <v>689</v>
      </c>
      <c r="R58" t="s">
        <v>701</v>
      </c>
      <c r="S58" t="s">
        <v>705</v>
      </c>
    </row>
    <row r="59" spans="1:19" x14ac:dyDescent="0.2">
      <c r="A59" t="s">
        <v>615</v>
      </c>
      <c r="B59">
        <v>37</v>
      </c>
      <c r="C59" t="s">
        <v>71</v>
      </c>
      <c r="D59" t="s">
        <v>697</v>
      </c>
      <c r="E59" s="3">
        <v>60.4</v>
      </c>
      <c r="F59" s="3">
        <f>85.7-12.4</f>
        <v>73.3</v>
      </c>
      <c r="G59" s="3">
        <f t="shared" si="0"/>
        <v>68.8</v>
      </c>
      <c r="J59" t="s">
        <v>669</v>
      </c>
      <c r="K59" t="s">
        <v>670</v>
      </c>
      <c r="M59" t="s">
        <v>689</v>
      </c>
      <c r="N59" t="s">
        <v>690</v>
      </c>
      <c r="O59" t="s">
        <v>691</v>
      </c>
      <c r="P59" t="s">
        <v>692</v>
      </c>
      <c r="R59" t="s">
        <v>701</v>
      </c>
      <c r="S59" t="s">
        <v>705</v>
      </c>
    </row>
    <row r="60" spans="1:19" x14ac:dyDescent="0.2">
      <c r="A60" t="s">
        <v>615</v>
      </c>
      <c r="B60">
        <v>38</v>
      </c>
      <c r="C60" t="s">
        <v>36</v>
      </c>
      <c r="D60" t="s">
        <v>697</v>
      </c>
      <c r="E60" s="3">
        <v>12.3</v>
      </c>
      <c r="F60" s="3">
        <f>63-35</f>
        <v>28</v>
      </c>
      <c r="G60" s="3">
        <f t="shared" si="0"/>
        <v>20.700000000000003</v>
      </c>
      <c r="J60" t="s">
        <v>669</v>
      </c>
      <c r="K60" t="s">
        <v>670</v>
      </c>
      <c r="M60" t="s">
        <v>689</v>
      </c>
      <c r="N60" t="s">
        <v>690</v>
      </c>
      <c r="O60" t="s">
        <v>690</v>
      </c>
      <c r="P60" t="s">
        <v>692</v>
      </c>
      <c r="R60" t="s">
        <v>701</v>
      </c>
      <c r="S60" t="s">
        <v>705</v>
      </c>
    </row>
    <row r="61" spans="1:19" x14ac:dyDescent="0.2">
      <c r="A61" t="s">
        <v>615</v>
      </c>
      <c r="B61">
        <v>39</v>
      </c>
      <c r="C61" t="s">
        <v>72</v>
      </c>
      <c r="D61" t="s">
        <v>697</v>
      </c>
      <c r="E61" s="3">
        <v>9.5</v>
      </c>
      <c r="F61" s="3">
        <f>61.9-35.9</f>
        <v>26</v>
      </c>
      <c r="G61" s="3">
        <f t="shared" si="0"/>
        <v>17.899999999999999</v>
      </c>
      <c r="J61" t="s">
        <v>669</v>
      </c>
      <c r="K61" t="s">
        <v>671</v>
      </c>
      <c r="M61" t="s">
        <v>690</v>
      </c>
      <c r="N61" t="s">
        <v>690</v>
      </c>
      <c r="O61" t="s">
        <v>689</v>
      </c>
      <c r="P61" t="s">
        <v>692</v>
      </c>
      <c r="R61" t="s">
        <v>701</v>
      </c>
      <c r="S61" t="s">
        <v>705</v>
      </c>
    </row>
    <row r="62" spans="1:19" x14ac:dyDescent="0.2">
      <c r="A62" t="s">
        <v>615</v>
      </c>
      <c r="B62">
        <v>40</v>
      </c>
      <c r="C62" t="s">
        <v>73</v>
      </c>
      <c r="D62" t="s">
        <v>696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J62" t="s">
        <v>669</v>
      </c>
      <c r="K62" t="s">
        <v>671</v>
      </c>
      <c r="M62" t="s">
        <v>691</v>
      </c>
      <c r="N62" t="s">
        <v>689</v>
      </c>
      <c r="O62" t="s">
        <v>690</v>
      </c>
      <c r="P62" t="s">
        <v>689</v>
      </c>
      <c r="R62" t="s">
        <v>701</v>
      </c>
      <c r="S62" t="s">
        <v>705</v>
      </c>
    </row>
    <row r="63" spans="1:19" x14ac:dyDescent="0.2">
      <c r="A63" t="s">
        <v>615</v>
      </c>
      <c r="B63">
        <v>41</v>
      </c>
      <c r="C63" t="s">
        <v>74</v>
      </c>
      <c r="D63" t="s">
        <v>697</v>
      </c>
      <c r="E63" s="3">
        <v>14.1</v>
      </c>
      <c r="F63" s="3">
        <f>61.8-36</f>
        <v>25.799999999999997</v>
      </c>
      <c r="G63" s="3">
        <f t="shared" si="0"/>
        <v>22.5</v>
      </c>
      <c r="J63" t="s">
        <v>669</v>
      </c>
      <c r="K63" t="s">
        <v>670</v>
      </c>
      <c r="M63" t="s">
        <v>689</v>
      </c>
      <c r="N63" t="s">
        <v>690</v>
      </c>
      <c r="O63" t="s">
        <v>690</v>
      </c>
      <c r="P63" t="s">
        <v>692</v>
      </c>
      <c r="R63" t="s">
        <v>701</v>
      </c>
      <c r="S63" t="s">
        <v>705</v>
      </c>
    </row>
    <row r="64" spans="1:19" x14ac:dyDescent="0.2">
      <c r="A64" t="s">
        <v>615</v>
      </c>
      <c r="B64">
        <v>42</v>
      </c>
      <c r="C64" t="s">
        <v>75</v>
      </c>
      <c r="D64" t="s">
        <v>697</v>
      </c>
      <c r="E64" s="3">
        <v>13.1</v>
      </c>
      <c r="F64" s="3">
        <f>58.7-39</f>
        <v>19.700000000000003</v>
      </c>
      <c r="G64" s="3">
        <f t="shared" si="0"/>
        <v>21.5</v>
      </c>
      <c r="J64" t="s">
        <v>669</v>
      </c>
      <c r="K64" t="s">
        <v>670</v>
      </c>
      <c r="M64" t="s">
        <v>691</v>
      </c>
      <c r="N64" t="s">
        <v>689</v>
      </c>
      <c r="O64" t="s">
        <v>690</v>
      </c>
      <c r="P64" t="s">
        <v>689</v>
      </c>
      <c r="R64" t="s">
        <v>701</v>
      </c>
      <c r="S64" t="s">
        <v>705</v>
      </c>
    </row>
    <row r="65" spans="1:19" x14ac:dyDescent="0.2">
      <c r="A65" t="s">
        <v>615</v>
      </c>
      <c r="B65">
        <v>43</v>
      </c>
      <c r="C65" t="s">
        <v>76</v>
      </c>
      <c r="D65" t="s">
        <v>697</v>
      </c>
      <c r="E65" s="3">
        <v>48.9</v>
      </c>
      <c r="F65" s="3">
        <f>80.8-17</f>
        <v>63.8</v>
      </c>
      <c r="G65" s="3">
        <f t="shared" si="0"/>
        <v>57.3</v>
      </c>
      <c r="J65" t="s">
        <v>669</v>
      </c>
      <c r="K65" t="s">
        <v>670</v>
      </c>
      <c r="M65" t="s">
        <v>690</v>
      </c>
      <c r="N65" t="s">
        <v>690</v>
      </c>
      <c r="O65" t="s">
        <v>691</v>
      </c>
      <c r="P65" t="s">
        <v>692</v>
      </c>
      <c r="R65" t="s">
        <v>701</v>
      </c>
      <c r="S65" t="s">
        <v>705</v>
      </c>
    </row>
    <row r="66" spans="1:19" x14ac:dyDescent="0.2">
      <c r="A66" t="s">
        <v>615</v>
      </c>
      <c r="B66">
        <v>44</v>
      </c>
      <c r="C66" t="s">
        <v>77</v>
      </c>
      <c r="D66" t="s">
        <v>697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J66" t="s">
        <v>669</v>
      </c>
      <c r="K66" t="s">
        <v>670</v>
      </c>
      <c r="M66" t="s">
        <v>690</v>
      </c>
      <c r="N66" t="s">
        <v>690</v>
      </c>
      <c r="O66" t="s">
        <v>689</v>
      </c>
      <c r="P66" t="s">
        <v>692</v>
      </c>
      <c r="R66" t="s">
        <v>701</v>
      </c>
      <c r="S66" t="s">
        <v>705</v>
      </c>
    </row>
    <row r="67" spans="1:19" x14ac:dyDescent="0.2">
      <c r="A67" t="s">
        <v>615</v>
      </c>
      <c r="B67">
        <v>45</v>
      </c>
      <c r="C67" t="s">
        <v>78</v>
      </c>
      <c r="D67" t="s">
        <v>697</v>
      </c>
      <c r="E67" s="3">
        <v>3.9</v>
      </c>
      <c r="F67" s="3">
        <f>54.1-44</f>
        <v>10.100000000000001</v>
      </c>
      <c r="G67" s="3">
        <f t="shared" si="1"/>
        <v>12.3</v>
      </c>
      <c r="J67" t="s">
        <v>669</v>
      </c>
      <c r="K67" t="s">
        <v>670</v>
      </c>
      <c r="M67" t="s">
        <v>689</v>
      </c>
      <c r="N67" t="s">
        <v>690</v>
      </c>
      <c r="O67" t="s">
        <v>690</v>
      </c>
      <c r="P67" t="s">
        <v>691</v>
      </c>
      <c r="R67" t="s">
        <v>701</v>
      </c>
      <c r="S67" t="s">
        <v>705</v>
      </c>
    </row>
    <row r="68" spans="1:19" x14ac:dyDescent="0.2">
      <c r="A68" t="s">
        <v>615</v>
      </c>
      <c r="B68">
        <v>46</v>
      </c>
      <c r="C68" t="s">
        <v>79</v>
      </c>
      <c r="D68" t="s">
        <v>697</v>
      </c>
      <c r="E68" s="3">
        <v>16.100000000000001</v>
      </c>
      <c r="F68" s="3">
        <f>63-34.8</f>
        <v>28.200000000000003</v>
      </c>
      <c r="G68" s="3">
        <f t="shared" si="1"/>
        <v>24.5</v>
      </c>
      <c r="J68" t="s">
        <v>669</v>
      </c>
      <c r="K68" t="s">
        <v>670</v>
      </c>
      <c r="M68" t="s">
        <v>690</v>
      </c>
      <c r="N68" t="s">
        <v>690</v>
      </c>
      <c r="O68" t="s">
        <v>690</v>
      </c>
      <c r="P68" t="s">
        <v>692</v>
      </c>
      <c r="R68" t="s">
        <v>701</v>
      </c>
      <c r="S68" t="s">
        <v>705</v>
      </c>
    </row>
    <row r="69" spans="1:19" x14ac:dyDescent="0.2">
      <c r="A69" t="s">
        <v>615</v>
      </c>
      <c r="B69">
        <v>47</v>
      </c>
      <c r="C69" t="s">
        <v>80</v>
      </c>
      <c r="D69" t="s">
        <v>697</v>
      </c>
      <c r="E69" s="3">
        <v>10</v>
      </c>
      <c r="F69" s="3">
        <f>57-40.9</f>
        <v>16.100000000000001</v>
      </c>
      <c r="G69" s="3">
        <f t="shared" si="1"/>
        <v>18.399999999999999</v>
      </c>
      <c r="J69" t="s">
        <v>669</v>
      </c>
      <c r="K69" t="s">
        <v>671</v>
      </c>
      <c r="M69" t="s">
        <v>692</v>
      </c>
      <c r="N69" t="s">
        <v>689</v>
      </c>
      <c r="O69" t="s">
        <v>690</v>
      </c>
      <c r="P69" t="s">
        <v>689</v>
      </c>
      <c r="R69" t="s">
        <v>701</v>
      </c>
      <c r="S69" t="s">
        <v>705</v>
      </c>
    </row>
    <row r="70" spans="1:19" x14ac:dyDescent="0.2">
      <c r="A70" t="s">
        <v>615</v>
      </c>
      <c r="B70">
        <v>48</v>
      </c>
      <c r="C70" t="s">
        <v>81</v>
      </c>
      <c r="D70" t="s">
        <v>696</v>
      </c>
      <c r="E70" s="3">
        <v>3.4</v>
      </c>
      <c r="F70" s="3">
        <f>52.5-45.3</f>
        <v>7.2000000000000028</v>
      </c>
      <c r="G70" s="3">
        <f t="shared" si="1"/>
        <v>11.8</v>
      </c>
      <c r="J70" t="s">
        <v>669</v>
      </c>
      <c r="K70" t="s">
        <v>674</v>
      </c>
      <c r="M70" t="s">
        <v>689</v>
      </c>
      <c r="N70" t="s">
        <v>689</v>
      </c>
      <c r="O70" t="s">
        <v>690</v>
      </c>
      <c r="P70" t="s">
        <v>691</v>
      </c>
      <c r="R70" t="s">
        <v>701</v>
      </c>
      <c r="S70" t="s">
        <v>705</v>
      </c>
    </row>
    <row r="71" spans="1:19" x14ac:dyDescent="0.2">
      <c r="A71" t="s">
        <v>615</v>
      </c>
      <c r="B71">
        <v>49</v>
      </c>
      <c r="C71" t="s">
        <v>82</v>
      </c>
      <c r="D71" t="s">
        <v>697</v>
      </c>
      <c r="E71" s="3">
        <v>12.1</v>
      </c>
      <c r="F71" s="3">
        <f>56.5-41.3</f>
        <v>15.200000000000003</v>
      </c>
      <c r="G71" s="3">
        <f t="shared" si="1"/>
        <v>20.5</v>
      </c>
      <c r="J71" t="s">
        <v>669</v>
      </c>
      <c r="K71" t="s">
        <v>671</v>
      </c>
      <c r="M71" t="s">
        <v>692</v>
      </c>
      <c r="N71" t="s">
        <v>689</v>
      </c>
      <c r="O71" t="s">
        <v>690</v>
      </c>
      <c r="P71" t="s">
        <v>689</v>
      </c>
      <c r="R71" t="s">
        <v>701</v>
      </c>
      <c r="S71" t="s">
        <v>705</v>
      </c>
    </row>
    <row r="72" spans="1:19" x14ac:dyDescent="0.2">
      <c r="A72" t="s">
        <v>615</v>
      </c>
      <c r="B72">
        <v>50</v>
      </c>
      <c r="C72" t="s">
        <v>83</v>
      </c>
      <c r="D72" t="s">
        <v>697</v>
      </c>
      <c r="E72" s="3">
        <v>18.2</v>
      </c>
      <c r="F72" s="3">
        <f>59.3-38.2</f>
        <v>21.099999999999994</v>
      </c>
      <c r="G72" s="3">
        <f t="shared" si="1"/>
        <v>26.6</v>
      </c>
      <c r="J72" t="s">
        <v>669</v>
      </c>
      <c r="K72" t="s">
        <v>674</v>
      </c>
      <c r="M72" t="s">
        <v>692</v>
      </c>
      <c r="N72" t="s">
        <v>689</v>
      </c>
      <c r="O72" t="s">
        <v>690</v>
      </c>
      <c r="P72" t="s">
        <v>689</v>
      </c>
      <c r="R72" t="s">
        <v>701</v>
      </c>
      <c r="S72" t="s">
        <v>705</v>
      </c>
    </row>
    <row r="73" spans="1:19" x14ac:dyDescent="0.2">
      <c r="A73" t="s">
        <v>615</v>
      </c>
      <c r="B73">
        <v>51</v>
      </c>
      <c r="C73" t="s">
        <v>84</v>
      </c>
      <c r="D73" t="s">
        <v>697</v>
      </c>
      <c r="E73" s="3">
        <v>18.2</v>
      </c>
      <c r="F73" s="3">
        <f>60.3-37.4</f>
        <v>22.9</v>
      </c>
      <c r="G73" s="3">
        <f t="shared" si="1"/>
        <v>26.6</v>
      </c>
      <c r="J73" t="s">
        <v>669</v>
      </c>
      <c r="K73" t="s">
        <v>674</v>
      </c>
      <c r="M73" t="s">
        <v>691</v>
      </c>
      <c r="N73" t="s">
        <v>689</v>
      </c>
      <c r="O73" t="s">
        <v>690</v>
      </c>
      <c r="P73" t="s">
        <v>689</v>
      </c>
      <c r="R73" t="s">
        <v>701</v>
      </c>
      <c r="S73" t="s">
        <v>705</v>
      </c>
    </row>
    <row r="74" spans="1:19" x14ac:dyDescent="0.2">
      <c r="A74" t="s">
        <v>615</v>
      </c>
      <c r="B74">
        <v>52</v>
      </c>
      <c r="C74" t="s">
        <v>85</v>
      </c>
      <c r="D74" t="s">
        <v>697</v>
      </c>
      <c r="E74" s="3">
        <v>17.5</v>
      </c>
      <c r="F74" s="3">
        <f>65.6-32.3</f>
        <v>33.299999999999997</v>
      </c>
      <c r="G74" s="3">
        <f t="shared" si="1"/>
        <v>25.9</v>
      </c>
      <c r="J74" t="s">
        <v>669</v>
      </c>
      <c r="K74" t="s">
        <v>674</v>
      </c>
      <c r="M74" t="s">
        <v>690</v>
      </c>
      <c r="N74" t="s">
        <v>690</v>
      </c>
      <c r="O74" t="s">
        <v>690</v>
      </c>
      <c r="P74" t="s">
        <v>692</v>
      </c>
      <c r="R74" t="s">
        <v>701</v>
      </c>
      <c r="S74" t="s">
        <v>705</v>
      </c>
    </row>
    <row r="75" spans="1:19" x14ac:dyDescent="0.2">
      <c r="A75" t="s">
        <v>616</v>
      </c>
      <c r="B75">
        <v>1</v>
      </c>
      <c r="C75" t="s">
        <v>86</v>
      </c>
      <c r="D75" t="s">
        <v>697</v>
      </c>
      <c r="E75" s="3">
        <v>55.9</v>
      </c>
      <c r="F75" s="3">
        <f>79.5-18.2</f>
        <v>61.3</v>
      </c>
      <c r="G75" s="3">
        <f t="shared" si="1"/>
        <v>64.3</v>
      </c>
      <c r="J75" t="s">
        <v>668</v>
      </c>
      <c r="K75" t="s">
        <v>670</v>
      </c>
      <c r="M75" t="s">
        <v>692</v>
      </c>
      <c r="N75" t="s">
        <v>689</v>
      </c>
      <c r="O75" t="s">
        <v>690</v>
      </c>
      <c r="P75" t="s">
        <v>689</v>
      </c>
      <c r="R75" t="s">
        <v>702</v>
      </c>
      <c r="S75" t="s">
        <v>705</v>
      </c>
    </row>
    <row r="76" spans="1:19" x14ac:dyDescent="0.2">
      <c r="A76" t="s">
        <v>616</v>
      </c>
      <c r="B76">
        <v>2</v>
      </c>
      <c r="C76" t="s">
        <v>87</v>
      </c>
      <c r="D76" t="s">
        <v>697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J76" t="s">
        <v>668</v>
      </c>
      <c r="K76" t="s">
        <v>671</v>
      </c>
      <c r="M76" t="s">
        <v>692</v>
      </c>
      <c r="N76" t="s">
        <v>692</v>
      </c>
      <c r="O76" t="s">
        <v>690</v>
      </c>
      <c r="P76" t="s">
        <v>690</v>
      </c>
      <c r="R76" t="s">
        <v>702</v>
      </c>
      <c r="S76" t="s">
        <v>705</v>
      </c>
    </row>
    <row r="77" spans="1:19" x14ac:dyDescent="0.2">
      <c r="A77" t="s">
        <v>616</v>
      </c>
      <c r="B77">
        <v>3</v>
      </c>
      <c r="C77" t="s">
        <v>88</v>
      </c>
      <c r="D77" t="s">
        <v>696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J77" t="s">
        <v>668</v>
      </c>
      <c r="K77" t="s">
        <v>673</v>
      </c>
      <c r="M77" t="s">
        <v>689</v>
      </c>
      <c r="N77" t="s">
        <v>691</v>
      </c>
      <c r="O77" t="s">
        <v>690</v>
      </c>
      <c r="P77" t="s">
        <v>689</v>
      </c>
      <c r="R77" t="s">
        <v>702</v>
      </c>
      <c r="S77" t="s">
        <v>705</v>
      </c>
    </row>
    <row r="78" spans="1:19" x14ac:dyDescent="0.2">
      <c r="A78" t="s">
        <v>616</v>
      </c>
      <c r="B78">
        <v>4</v>
      </c>
      <c r="C78" t="s">
        <v>89</v>
      </c>
      <c r="D78" t="s">
        <v>696</v>
      </c>
      <c r="E78" s="3">
        <v>-18.3</v>
      </c>
      <c r="F78" s="3">
        <f>39.5-58</f>
        <v>-18.5</v>
      </c>
      <c r="G78" s="3">
        <f t="shared" si="1"/>
        <v>-9.9</v>
      </c>
      <c r="J78" t="s">
        <v>681</v>
      </c>
      <c r="K78" t="s">
        <v>673</v>
      </c>
      <c r="M78" t="s">
        <v>691</v>
      </c>
      <c r="N78" t="s">
        <v>692</v>
      </c>
      <c r="O78" t="s">
        <v>690</v>
      </c>
      <c r="P78" t="s">
        <v>690</v>
      </c>
      <c r="R78" t="s">
        <v>702</v>
      </c>
      <c r="S78" t="s">
        <v>705</v>
      </c>
    </row>
    <row r="79" spans="1:19" x14ac:dyDescent="0.2">
      <c r="A79" t="s">
        <v>616</v>
      </c>
      <c r="B79">
        <v>5</v>
      </c>
      <c r="C79" t="s">
        <v>90</v>
      </c>
      <c r="D79" t="s">
        <v>696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J79" t="s">
        <v>668</v>
      </c>
      <c r="K79" t="s">
        <v>673</v>
      </c>
      <c r="M79" t="s">
        <v>691</v>
      </c>
      <c r="N79" t="s">
        <v>691</v>
      </c>
      <c r="O79" t="s">
        <v>690</v>
      </c>
      <c r="P79" t="s">
        <v>689</v>
      </c>
      <c r="R79" t="s">
        <v>702</v>
      </c>
      <c r="S79" t="s">
        <v>705</v>
      </c>
    </row>
    <row r="80" spans="1:19" x14ac:dyDescent="0.2">
      <c r="A80" t="s">
        <v>616</v>
      </c>
      <c r="B80">
        <v>6</v>
      </c>
      <c r="C80" t="s">
        <v>91</v>
      </c>
      <c r="D80" t="s">
        <v>697</v>
      </c>
      <c r="E80" s="3">
        <v>19.8</v>
      </c>
      <c r="F80" s="3">
        <f>60.6-36.8</f>
        <v>23.800000000000004</v>
      </c>
      <c r="G80" s="3">
        <f t="shared" si="1"/>
        <v>28.200000000000003</v>
      </c>
      <c r="J80" t="s">
        <v>668</v>
      </c>
      <c r="K80" t="s">
        <v>671</v>
      </c>
      <c r="M80" t="s">
        <v>691</v>
      </c>
      <c r="N80" t="s">
        <v>689</v>
      </c>
      <c r="O80" t="s">
        <v>689</v>
      </c>
      <c r="P80" t="s">
        <v>689</v>
      </c>
      <c r="R80" t="s">
        <v>702</v>
      </c>
      <c r="S80" t="s">
        <v>705</v>
      </c>
    </row>
    <row r="81" spans="1:19" x14ac:dyDescent="0.2">
      <c r="A81" t="s">
        <v>616</v>
      </c>
      <c r="B81">
        <v>7</v>
      </c>
      <c r="C81" t="s">
        <v>92</v>
      </c>
      <c r="D81" t="s">
        <v>697</v>
      </c>
      <c r="E81" s="3">
        <v>15</v>
      </c>
      <c r="F81" s="3">
        <f>55.7-41.5</f>
        <v>14.200000000000003</v>
      </c>
      <c r="G81" s="3">
        <f t="shared" si="1"/>
        <v>23.4</v>
      </c>
      <c r="J81" t="s">
        <v>668</v>
      </c>
      <c r="K81" t="s">
        <v>671</v>
      </c>
      <c r="M81" t="s">
        <v>689</v>
      </c>
      <c r="N81" t="s">
        <v>692</v>
      </c>
      <c r="O81" t="s">
        <v>690</v>
      </c>
      <c r="P81" t="s">
        <v>690</v>
      </c>
      <c r="R81" t="s">
        <v>702</v>
      </c>
      <c r="S81" t="s">
        <v>705</v>
      </c>
    </row>
    <row r="82" spans="1:19" x14ac:dyDescent="0.2">
      <c r="A82" t="s">
        <v>616</v>
      </c>
      <c r="B82">
        <v>8</v>
      </c>
      <c r="C82" t="s">
        <v>93</v>
      </c>
      <c r="D82" t="s">
        <v>696</v>
      </c>
      <c r="E82" s="3">
        <v>-1.8</v>
      </c>
      <c r="F82" s="3">
        <f>50.8-46.3</f>
        <v>4.5</v>
      </c>
      <c r="G82" s="3">
        <f t="shared" si="1"/>
        <v>6.6000000000000005</v>
      </c>
      <c r="J82" t="s">
        <v>668</v>
      </c>
      <c r="K82" t="s">
        <v>671</v>
      </c>
      <c r="M82" t="s">
        <v>689</v>
      </c>
      <c r="N82" t="s">
        <v>689</v>
      </c>
      <c r="O82" t="s">
        <v>690</v>
      </c>
      <c r="P82" t="s">
        <v>691</v>
      </c>
      <c r="R82" t="s">
        <v>702</v>
      </c>
      <c r="S82" t="s">
        <v>705</v>
      </c>
    </row>
    <row r="83" spans="1:19" x14ac:dyDescent="0.2">
      <c r="A83" t="s">
        <v>617</v>
      </c>
      <c r="B83">
        <v>1</v>
      </c>
      <c r="C83" t="s">
        <v>94</v>
      </c>
      <c r="D83" t="s">
        <v>697</v>
      </c>
      <c r="E83" s="3">
        <v>22.9</v>
      </c>
      <c r="F83" s="3">
        <f>63.3-35.2</f>
        <v>28.099999999999994</v>
      </c>
      <c r="G83" s="3">
        <f t="shared" si="1"/>
        <v>31.299999999999997</v>
      </c>
      <c r="J83" t="s">
        <v>665</v>
      </c>
      <c r="K83" t="s">
        <v>671</v>
      </c>
      <c r="M83" t="s">
        <v>691</v>
      </c>
      <c r="N83" t="s">
        <v>689</v>
      </c>
      <c r="O83" t="s">
        <v>689</v>
      </c>
      <c r="P83" t="s">
        <v>689</v>
      </c>
      <c r="R83" t="s">
        <v>702</v>
      </c>
      <c r="S83" t="s">
        <v>705</v>
      </c>
    </row>
    <row r="84" spans="1:19" x14ac:dyDescent="0.2">
      <c r="A84" t="s">
        <v>617</v>
      </c>
      <c r="B84">
        <v>2</v>
      </c>
      <c r="C84" t="s">
        <v>95</v>
      </c>
      <c r="D84" t="s">
        <v>697</v>
      </c>
      <c r="E84" s="3">
        <v>7.7</v>
      </c>
      <c r="F84" s="3">
        <f>54.7-43.2</f>
        <v>11.5</v>
      </c>
      <c r="G84" s="3">
        <f t="shared" si="1"/>
        <v>16.100000000000001</v>
      </c>
      <c r="J84" t="s">
        <v>665</v>
      </c>
      <c r="K84" t="s">
        <v>671</v>
      </c>
      <c r="M84" t="s">
        <v>691</v>
      </c>
      <c r="N84" t="s">
        <v>692</v>
      </c>
      <c r="O84" t="s">
        <v>690</v>
      </c>
      <c r="P84" t="s">
        <v>690</v>
      </c>
      <c r="R84" t="s">
        <v>702</v>
      </c>
      <c r="S84" t="s">
        <v>705</v>
      </c>
    </row>
    <row r="85" spans="1:19" x14ac:dyDescent="0.2">
      <c r="A85" t="s">
        <v>617</v>
      </c>
      <c r="B85">
        <v>3</v>
      </c>
      <c r="C85" t="s">
        <v>96</v>
      </c>
      <c r="D85" t="s">
        <v>697</v>
      </c>
      <c r="E85" s="3">
        <v>14.1</v>
      </c>
      <c r="F85" s="3">
        <f>59.2-39.5</f>
        <v>19.700000000000003</v>
      </c>
      <c r="G85" s="3">
        <f t="shared" si="1"/>
        <v>22.5</v>
      </c>
      <c r="J85" t="s">
        <v>665</v>
      </c>
      <c r="K85" t="s">
        <v>671</v>
      </c>
      <c r="M85" t="s">
        <v>691</v>
      </c>
      <c r="N85" t="s">
        <v>691</v>
      </c>
      <c r="O85" t="s">
        <v>689</v>
      </c>
      <c r="P85" t="s">
        <v>690</v>
      </c>
      <c r="R85" t="s">
        <v>702</v>
      </c>
      <c r="S85" t="s">
        <v>705</v>
      </c>
    </row>
    <row r="86" spans="1:19" x14ac:dyDescent="0.2">
      <c r="A86" t="s">
        <v>617</v>
      </c>
      <c r="B86">
        <v>4</v>
      </c>
      <c r="C86" t="s">
        <v>97</v>
      </c>
      <c r="D86" t="s">
        <v>697</v>
      </c>
      <c r="E86" s="3">
        <v>23.4</v>
      </c>
      <c r="F86" s="3">
        <f>64.9-33.7</f>
        <v>31.200000000000003</v>
      </c>
      <c r="G86" s="3">
        <f t="shared" si="1"/>
        <v>31.799999999999997</v>
      </c>
      <c r="J86" t="s">
        <v>665</v>
      </c>
      <c r="K86" t="s">
        <v>671</v>
      </c>
      <c r="M86" t="s">
        <v>692</v>
      </c>
      <c r="N86" t="s">
        <v>689</v>
      </c>
      <c r="O86" t="s">
        <v>689</v>
      </c>
      <c r="P86" t="s">
        <v>689</v>
      </c>
      <c r="R86" t="s">
        <v>702</v>
      </c>
      <c r="S86" t="s">
        <v>705</v>
      </c>
    </row>
    <row r="87" spans="1:19" x14ac:dyDescent="0.2">
      <c r="A87" t="s">
        <v>617</v>
      </c>
      <c r="B87">
        <v>5</v>
      </c>
      <c r="C87" t="s">
        <v>98</v>
      </c>
      <c r="D87" t="s">
        <v>697</v>
      </c>
      <c r="E87" s="3">
        <v>5.6</v>
      </c>
      <c r="F87" s="3">
        <f>54.6-43.9</f>
        <v>10.700000000000003</v>
      </c>
      <c r="G87" s="3">
        <f t="shared" si="1"/>
        <v>14</v>
      </c>
      <c r="J87" t="s">
        <v>665</v>
      </c>
      <c r="K87" t="s">
        <v>671</v>
      </c>
      <c r="M87" t="s">
        <v>691</v>
      </c>
      <c r="N87" t="s">
        <v>691</v>
      </c>
      <c r="O87" t="s">
        <v>690</v>
      </c>
      <c r="P87" t="s">
        <v>689</v>
      </c>
      <c r="R87" t="s">
        <v>702</v>
      </c>
      <c r="S87" t="s">
        <v>705</v>
      </c>
    </row>
    <row r="88" spans="1:19" x14ac:dyDescent="0.2">
      <c r="A88" t="s">
        <v>618</v>
      </c>
      <c r="B88" s="5" t="s">
        <v>17</v>
      </c>
      <c r="C88" t="s">
        <v>99</v>
      </c>
      <c r="D88" t="s">
        <v>697</v>
      </c>
      <c r="E88" s="3">
        <v>14.7</v>
      </c>
      <c r="F88" s="3">
        <f>56.5-41.8</f>
        <v>14.700000000000003</v>
      </c>
      <c r="G88" s="3">
        <f t="shared" si="1"/>
        <v>23.1</v>
      </c>
      <c r="J88" t="s">
        <v>678</v>
      </c>
      <c r="K88" t="s">
        <v>674</v>
      </c>
      <c r="M88" t="s">
        <v>691</v>
      </c>
      <c r="N88" t="s">
        <v>691</v>
      </c>
      <c r="O88" t="s">
        <v>689</v>
      </c>
      <c r="P88" t="s">
        <v>690</v>
      </c>
      <c r="R88" t="s">
        <v>702</v>
      </c>
      <c r="S88" t="s">
        <v>705</v>
      </c>
    </row>
    <row r="89" spans="1:19" x14ac:dyDescent="0.2">
      <c r="A89" t="s">
        <v>619</v>
      </c>
      <c r="B89">
        <v>1</v>
      </c>
      <c r="C89" t="s">
        <v>100</v>
      </c>
      <c r="D89" t="s">
        <v>696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J89" t="s">
        <v>676</v>
      </c>
      <c r="K89" t="s">
        <v>673</v>
      </c>
      <c r="M89" t="s">
        <v>689</v>
      </c>
      <c r="N89" t="s">
        <v>691</v>
      </c>
      <c r="O89" t="s">
        <v>689</v>
      </c>
      <c r="P89" t="s">
        <v>690</v>
      </c>
      <c r="R89" t="s">
        <v>702</v>
      </c>
      <c r="S89" t="s">
        <v>705</v>
      </c>
    </row>
    <row r="90" spans="1:19" x14ac:dyDescent="0.2">
      <c r="A90" t="s">
        <v>619</v>
      </c>
      <c r="B90">
        <v>2</v>
      </c>
      <c r="C90" t="s">
        <v>101</v>
      </c>
      <c r="D90" t="s">
        <v>696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J90" t="s">
        <v>676</v>
      </c>
      <c r="K90" t="s">
        <v>673</v>
      </c>
      <c r="M90" t="s">
        <v>689</v>
      </c>
      <c r="N90" t="s">
        <v>691</v>
      </c>
      <c r="O90" t="s">
        <v>689</v>
      </c>
      <c r="P90" t="s">
        <v>690</v>
      </c>
      <c r="R90" t="s">
        <v>702</v>
      </c>
      <c r="S90" t="s">
        <v>705</v>
      </c>
    </row>
    <row r="91" spans="1:19" x14ac:dyDescent="0.2">
      <c r="A91" t="s">
        <v>619</v>
      </c>
      <c r="B91">
        <v>3</v>
      </c>
      <c r="C91" t="s">
        <v>102</v>
      </c>
      <c r="D91" t="s">
        <v>696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J91" t="s">
        <v>679</v>
      </c>
      <c r="K91" t="s">
        <v>673</v>
      </c>
      <c r="M91" t="s">
        <v>689</v>
      </c>
      <c r="N91" t="s">
        <v>691</v>
      </c>
      <c r="O91" t="s">
        <v>689</v>
      </c>
      <c r="P91" t="s">
        <v>689</v>
      </c>
      <c r="R91" t="s">
        <v>702</v>
      </c>
      <c r="S91" t="s">
        <v>705</v>
      </c>
    </row>
    <row r="92" spans="1:19" x14ac:dyDescent="0.2">
      <c r="A92" t="s">
        <v>619</v>
      </c>
      <c r="B92">
        <v>4</v>
      </c>
      <c r="C92" t="s">
        <v>103</v>
      </c>
      <c r="D92" t="s">
        <v>696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J92" t="s">
        <v>679</v>
      </c>
      <c r="K92" t="s">
        <v>673</v>
      </c>
      <c r="M92" t="s">
        <v>690</v>
      </c>
      <c r="N92" t="s">
        <v>689</v>
      </c>
      <c r="O92" t="s">
        <v>691</v>
      </c>
      <c r="P92" t="s">
        <v>690</v>
      </c>
      <c r="R92" t="s">
        <v>702</v>
      </c>
      <c r="S92" t="s">
        <v>705</v>
      </c>
    </row>
    <row r="93" spans="1:19" x14ac:dyDescent="0.2">
      <c r="A93" t="s">
        <v>619</v>
      </c>
      <c r="B93">
        <v>5</v>
      </c>
      <c r="C93" t="s">
        <v>104</v>
      </c>
      <c r="D93" t="s">
        <v>696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J93" t="s">
        <v>679</v>
      </c>
      <c r="K93" t="s">
        <v>674</v>
      </c>
      <c r="M93" t="s">
        <v>689</v>
      </c>
      <c r="N93" t="s">
        <v>691</v>
      </c>
      <c r="O93" t="s">
        <v>689</v>
      </c>
      <c r="P93" t="s">
        <v>690</v>
      </c>
      <c r="R93" t="s">
        <v>702</v>
      </c>
      <c r="S93" t="s">
        <v>705</v>
      </c>
    </row>
    <row r="94" spans="1:19" x14ac:dyDescent="0.2">
      <c r="A94" t="s">
        <v>619</v>
      </c>
      <c r="B94">
        <v>6</v>
      </c>
      <c r="C94" t="s">
        <v>105</v>
      </c>
      <c r="D94" t="s">
        <v>696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J94" t="s">
        <v>679</v>
      </c>
      <c r="K94" t="s">
        <v>674</v>
      </c>
      <c r="M94" t="s">
        <v>690</v>
      </c>
      <c r="N94" t="s">
        <v>691</v>
      </c>
      <c r="O94" t="s">
        <v>689</v>
      </c>
      <c r="P94" t="s">
        <v>690</v>
      </c>
      <c r="R94" t="s">
        <v>702</v>
      </c>
      <c r="S94" t="s">
        <v>705</v>
      </c>
    </row>
    <row r="95" spans="1:19" x14ac:dyDescent="0.2">
      <c r="A95" t="s">
        <v>619</v>
      </c>
      <c r="B95">
        <v>7</v>
      </c>
      <c r="C95" t="s">
        <v>106</v>
      </c>
      <c r="D95" t="s">
        <v>696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J95" t="s">
        <v>679</v>
      </c>
      <c r="K95" t="s">
        <v>674</v>
      </c>
      <c r="M95" t="s">
        <v>689</v>
      </c>
      <c r="N95" t="s">
        <v>691</v>
      </c>
      <c r="O95" t="s">
        <v>689</v>
      </c>
      <c r="P95" t="s">
        <v>689</v>
      </c>
      <c r="R95" t="s">
        <v>702</v>
      </c>
      <c r="S95" t="s">
        <v>705</v>
      </c>
    </row>
    <row r="96" spans="1:19" x14ac:dyDescent="0.2">
      <c r="A96" t="s">
        <v>619</v>
      </c>
      <c r="B96">
        <v>8</v>
      </c>
      <c r="C96" t="s">
        <v>107</v>
      </c>
      <c r="D96" t="s">
        <v>696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J96" t="s">
        <v>679</v>
      </c>
      <c r="K96" t="s">
        <v>674</v>
      </c>
      <c r="M96" t="s">
        <v>689</v>
      </c>
      <c r="N96" t="s">
        <v>691</v>
      </c>
      <c r="O96" t="s">
        <v>689</v>
      </c>
      <c r="P96" t="s">
        <v>690</v>
      </c>
      <c r="R96" t="s">
        <v>702</v>
      </c>
      <c r="S96" t="s">
        <v>705</v>
      </c>
    </row>
    <row r="97" spans="1:19" x14ac:dyDescent="0.2">
      <c r="A97" t="s">
        <v>619</v>
      </c>
      <c r="B97">
        <v>9</v>
      </c>
      <c r="C97" t="s">
        <v>108</v>
      </c>
      <c r="D97" t="s">
        <v>697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J97" t="s">
        <v>679</v>
      </c>
      <c r="K97" t="s">
        <v>674</v>
      </c>
      <c r="M97" t="s">
        <v>689</v>
      </c>
      <c r="N97" t="s">
        <v>689</v>
      </c>
      <c r="O97" t="s">
        <v>689</v>
      </c>
      <c r="P97" t="s">
        <v>691</v>
      </c>
      <c r="R97" t="s">
        <v>702</v>
      </c>
      <c r="S97" t="s">
        <v>705</v>
      </c>
    </row>
    <row r="98" spans="1:19" x14ac:dyDescent="0.2">
      <c r="A98" t="s">
        <v>619</v>
      </c>
      <c r="B98">
        <v>10</v>
      </c>
      <c r="C98" t="s">
        <v>109</v>
      </c>
      <c r="D98" t="s">
        <v>697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J98" t="s">
        <v>679</v>
      </c>
      <c r="K98" t="s">
        <v>670</v>
      </c>
      <c r="M98" t="s">
        <v>689</v>
      </c>
      <c r="N98" t="s">
        <v>690</v>
      </c>
      <c r="O98" t="s">
        <v>691</v>
      </c>
      <c r="P98" t="s">
        <v>691</v>
      </c>
      <c r="R98" t="s">
        <v>702</v>
      </c>
      <c r="S98" t="s">
        <v>705</v>
      </c>
    </row>
    <row r="99" spans="1:19" x14ac:dyDescent="0.2">
      <c r="A99" t="s">
        <v>619</v>
      </c>
      <c r="B99">
        <v>11</v>
      </c>
      <c r="C99" t="s">
        <v>110</v>
      </c>
      <c r="D99" t="s">
        <v>696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J99" t="s">
        <v>679</v>
      </c>
      <c r="K99" t="s">
        <v>674</v>
      </c>
      <c r="M99" t="s">
        <v>691</v>
      </c>
      <c r="N99" t="s">
        <v>691</v>
      </c>
      <c r="O99" t="s">
        <v>689</v>
      </c>
      <c r="P99" t="s">
        <v>689</v>
      </c>
      <c r="R99" t="s">
        <v>702</v>
      </c>
      <c r="S99" t="s">
        <v>705</v>
      </c>
    </row>
    <row r="100" spans="1:19" x14ac:dyDescent="0.2">
      <c r="A100" t="s">
        <v>619</v>
      </c>
      <c r="B100">
        <v>12</v>
      </c>
      <c r="C100" t="s">
        <v>111</v>
      </c>
      <c r="D100" t="s">
        <v>696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J100" t="s">
        <v>679</v>
      </c>
      <c r="K100" t="s">
        <v>674</v>
      </c>
      <c r="M100" t="s">
        <v>689</v>
      </c>
      <c r="N100" t="s">
        <v>689</v>
      </c>
      <c r="O100" t="s">
        <v>689</v>
      </c>
      <c r="P100" t="s">
        <v>689</v>
      </c>
      <c r="R100" t="s">
        <v>702</v>
      </c>
      <c r="S100" t="s">
        <v>705</v>
      </c>
    </row>
    <row r="101" spans="1:19" x14ac:dyDescent="0.2">
      <c r="A101" t="s">
        <v>619</v>
      </c>
      <c r="B101">
        <v>13</v>
      </c>
      <c r="C101" t="s">
        <v>112</v>
      </c>
      <c r="D101" t="s">
        <v>696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J101" t="s">
        <v>679</v>
      </c>
      <c r="K101" t="s">
        <v>674</v>
      </c>
      <c r="M101" t="s">
        <v>689</v>
      </c>
      <c r="N101" t="s">
        <v>692</v>
      </c>
      <c r="O101" t="s">
        <v>690</v>
      </c>
      <c r="P101" t="s">
        <v>690</v>
      </c>
      <c r="R101" t="s">
        <v>702</v>
      </c>
      <c r="S101" t="s">
        <v>705</v>
      </c>
    </row>
    <row r="102" spans="1:19" x14ac:dyDescent="0.2">
      <c r="A102" t="s">
        <v>619</v>
      </c>
      <c r="B102">
        <v>14</v>
      </c>
      <c r="C102" t="s">
        <v>113</v>
      </c>
      <c r="D102" t="s">
        <v>697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J102" t="s">
        <v>679</v>
      </c>
      <c r="K102" t="s">
        <v>674</v>
      </c>
      <c r="M102" t="s">
        <v>689</v>
      </c>
      <c r="N102" t="s">
        <v>689</v>
      </c>
      <c r="O102" t="s">
        <v>689</v>
      </c>
      <c r="P102" t="s">
        <v>689</v>
      </c>
      <c r="R102" t="s">
        <v>702</v>
      </c>
      <c r="S102" t="s">
        <v>705</v>
      </c>
    </row>
    <row r="103" spans="1:19" x14ac:dyDescent="0.2">
      <c r="A103" t="s">
        <v>619</v>
      </c>
      <c r="B103">
        <v>15</v>
      </c>
      <c r="C103" t="s">
        <v>114</v>
      </c>
      <c r="D103" t="s">
        <v>696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J103" t="s">
        <v>679</v>
      </c>
      <c r="K103" t="s">
        <v>674</v>
      </c>
      <c r="M103" t="s">
        <v>689</v>
      </c>
      <c r="N103" t="s">
        <v>691</v>
      </c>
      <c r="O103" t="s">
        <v>689</v>
      </c>
      <c r="P103" t="s">
        <v>690</v>
      </c>
      <c r="R103" t="s">
        <v>702</v>
      </c>
      <c r="S103" t="s">
        <v>705</v>
      </c>
    </row>
    <row r="104" spans="1:19" x14ac:dyDescent="0.2">
      <c r="A104" t="s">
        <v>619</v>
      </c>
      <c r="B104">
        <v>16</v>
      </c>
      <c r="C104" t="s">
        <v>115</v>
      </c>
      <c r="D104" t="s">
        <v>696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J104" t="s">
        <v>679</v>
      </c>
      <c r="K104" t="s">
        <v>674</v>
      </c>
      <c r="M104" t="s">
        <v>689</v>
      </c>
      <c r="N104" t="s">
        <v>691</v>
      </c>
      <c r="O104" t="s">
        <v>689</v>
      </c>
      <c r="P104" t="s">
        <v>690</v>
      </c>
      <c r="R104" t="s">
        <v>702</v>
      </c>
      <c r="S104" t="s">
        <v>705</v>
      </c>
    </row>
    <row r="105" spans="1:19" x14ac:dyDescent="0.2">
      <c r="A105" t="s">
        <v>619</v>
      </c>
      <c r="B105">
        <v>17</v>
      </c>
      <c r="C105" t="s">
        <v>116</v>
      </c>
      <c r="D105" t="s">
        <v>696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J105" t="s">
        <v>679</v>
      </c>
      <c r="K105" t="s">
        <v>674</v>
      </c>
      <c r="M105" t="s">
        <v>689</v>
      </c>
      <c r="N105" t="s">
        <v>692</v>
      </c>
      <c r="O105" t="s">
        <v>690</v>
      </c>
      <c r="P105" t="s">
        <v>690</v>
      </c>
      <c r="R105" t="s">
        <v>702</v>
      </c>
      <c r="S105" t="s">
        <v>705</v>
      </c>
    </row>
    <row r="106" spans="1:19" x14ac:dyDescent="0.2">
      <c r="A106" t="s">
        <v>619</v>
      </c>
      <c r="B106">
        <v>18</v>
      </c>
      <c r="C106" t="s">
        <v>117</v>
      </c>
      <c r="D106" t="s">
        <v>696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J106" t="s">
        <v>679</v>
      </c>
      <c r="K106" t="s">
        <v>674</v>
      </c>
      <c r="M106" t="s">
        <v>690</v>
      </c>
      <c r="N106" t="s">
        <v>689</v>
      </c>
      <c r="O106" t="s">
        <v>690</v>
      </c>
      <c r="P106" t="s">
        <v>689</v>
      </c>
      <c r="R106" t="s">
        <v>702</v>
      </c>
      <c r="S106" t="s">
        <v>705</v>
      </c>
    </row>
    <row r="107" spans="1:19" x14ac:dyDescent="0.2">
      <c r="A107" t="s">
        <v>619</v>
      </c>
      <c r="B107">
        <v>19</v>
      </c>
      <c r="C107" t="s">
        <v>118</v>
      </c>
      <c r="D107" t="s">
        <v>696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J107" t="s">
        <v>679</v>
      </c>
      <c r="K107" t="s">
        <v>674</v>
      </c>
      <c r="M107" t="s">
        <v>689</v>
      </c>
      <c r="N107" t="s">
        <v>691</v>
      </c>
      <c r="O107" t="s">
        <v>690</v>
      </c>
      <c r="P107" t="s">
        <v>689</v>
      </c>
      <c r="R107" t="s">
        <v>702</v>
      </c>
      <c r="S107" t="s">
        <v>705</v>
      </c>
    </row>
    <row r="108" spans="1:19" x14ac:dyDescent="0.2">
      <c r="A108" t="s">
        <v>619</v>
      </c>
      <c r="B108">
        <v>20</v>
      </c>
      <c r="C108" t="s">
        <v>48</v>
      </c>
      <c r="D108" t="s">
        <v>698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J108" t="s">
        <v>679</v>
      </c>
      <c r="K108" t="s">
        <v>670</v>
      </c>
      <c r="M108" t="s">
        <v>689</v>
      </c>
      <c r="N108" t="s">
        <v>690</v>
      </c>
      <c r="O108" t="s">
        <v>691</v>
      </c>
      <c r="P108" t="s">
        <v>689</v>
      </c>
      <c r="R108" t="s">
        <v>702</v>
      </c>
      <c r="S108" t="s">
        <v>705</v>
      </c>
    </row>
    <row r="109" spans="1:19" x14ac:dyDescent="0.2">
      <c r="A109" t="s">
        <v>619</v>
      </c>
      <c r="B109">
        <v>21</v>
      </c>
      <c r="C109" t="s">
        <v>119</v>
      </c>
      <c r="D109" t="s">
        <v>696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J109" t="s">
        <v>679</v>
      </c>
      <c r="K109" t="s">
        <v>674</v>
      </c>
      <c r="M109" t="s">
        <v>689</v>
      </c>
      <c r="N109" t="s">
        <v>691</v>
      </c>
      <c r="O109" t="s">
        <v>689</v>
      </c>
      <c r="P109" t="s">
        <v>689</v>
      </c>
      <c r="R109" t="s">
        <v>702</v>
      </c>
      <c r="S109" t="s">
        <v>705</v>
      </c>
    </row>
    <row r="110" spans="1:19" x14ac:dyDescent="0.2">
      <c r="A110" t="s">
        <v>619</v>
      </c>
      <c r="B110">
        <v>22</v>
      </c>
      <c r="C110" t="s">
        <v>120</v>
      </c>
      <c r="D110" t="s">
        <v>697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J110" t="s">
        <v>679</v>
      </c>
      <c r="K110" t="s">
        <v>674</v>
      </c>
      <c r="M110" t="s">
        <v>691</v>
      </c>
      <c r="N110" t="s">
        <v>689</v>
      </c>
      <c r="O110" t="s">
        <v>689</v>
      </c>
      <c r="P110" t="s">
        <v>691</v>
      </c>
      <c r="R110" t="s">
        <v>702</v>
      </c>
      <c r="S110" t="s">
        <v>705</v>
      </c>
    </row>
    <row r="111" spans="1:19" x14ac:dyDescent="0.2">
      <c r="A111" t="s">
        <v>619</v>
      </c>
      <c r="B111">
        <v>23</v>
      </c>
      <c r="C111" t="s">
        <v>121</v>
      </c>
      <c r="D111" t="s">
        <v>697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J111" t="s">
        <v>679</v>
      </c>
      <c r="K111" t="s">
        <v>670</v>
      </c>
      <c r="M111" t="s">
        <v>689</v>
      </c>
      <c r="N111" t="s">
        <v>689</v>
      </c>
      <c r="O111" t="s">
        <v>689</v>
      </c>
      <c r="P111" t="s">
        <v>689</v>
      </c>
      <c r="R111" t="s">
        <v>702</v>
      </c>
      <c r="S111" t="s">
        <v>705</v>
      </c>
    </row>
    <row r="112" spans="1:19" x14ac:dyDescent="0.2">
      <c r="A112" t="s">
        <v>619</v>
      </c>
      <c r="B112">
        <v>24</v>
      </c>
      <c r="C112" t="s">
        <v>122</v>
      </c>
      <c r="D112" t="s">
        <v>697</v>
      </c>
      <c r="E112" s="3">
        <f>68.7-30.1</f>
        <v>38.6</v>
      </c>
      <c r="F112" s="3">
        <f>77.8-21.4</f>
        <v>56.4</v>
      </c>
      <c r="G112" s="3">
        <f t="shared" si="1"/>
        <v>47</v>
      </c>
      <c r="J112" t="s">
        <v>679</v>
      </c>
      <c r="K112" t="s">
        <v>670</v>
      </c>
      <c r="M112" t="s">
        <v>690</v>
      </c>
      <c r="N112" t="s">
        <v>690</v>
      </c>
      <c r="O112" t="s">
        <v>692</v>
      </c>
      <c r="P112" t="s">
        <v>691</v>
      </c>
      <c r="R112" t="s">
        <v>702</v>
      </c>
      <c r="S112" t="s">
        <v>705</v>
      </c>
    </row>
    <row r="113" spans="1:19" x14ac:dyDescent="0.2">
      <c r="A113" t="s">
        <v>619</v>
      </c>
      <c r="B113">
        <v>25</v>
      </c>
      <c r="C113" t="s">
        <v>123</v>
      </c>
      <c r="D113" t="s">
        <v>697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J113" t="s">
        <v>679</v>
      </c>
      <c r="K113" t="s">
        <v>674</v>
      </c>
      <c r="M113" t="s">
        <v>692</v>
      </c>
      <c r="N113" t="s">
        <v>689</v>
      </c>
      <c r="O113" t="s">
        <v>690</v>
      </c>
      <c r="P113" t="s">
        <v>689</v>
      </c>
      <c r="R113" t="s">
        <v>702</v>
      </c>
      <c r="S113" t="s">
        <v>705</v>
      </c>
    </row>
    <row r="114" spans="1:19" x14ac:dyDescent="0.2">
      <c r="A114" t="s">
        <v>619</v>
      </c>
      <c r="B114">
        <v>26</v>
      </c>
      <c r="C114" t="s">
        <v>124</v>
      </c>
      <c r="D114" t="s">
        <v>696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J114" t="s">
        <v>679</v>
      </c>
      <c r="K114" t="s">
        <v>674</v>
      </c>
      <c r="M114" t="s">
        <v>689</v>
      </c>
      <c r="N114" t="s">
        <v>690</v>
      </c>
      <c r="O114" t="s">
        <v>690</v>
      </c>
      <c r="P114" t="s">
        <v>692</v>
      </c>
      <c r="R114" t="s">
        <v>702</v>
      </c>
      <c r="S114" t="s">
        <v>705</v>
      </c>
    </row>
    <row r="115" spans="1:19" x14ac:dyDescent="0.2">
      <c r="A115" t="s">
        <v>619</v>
      </c>
      <c r="B115">
        <v>27</v>
      </c>
      <c r="C115" t="s">
        <v>125</v>
      </c>
      <c r="D115" t="s">
        <v>696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J115" t="s">
        <v>679</v>
      </c>
      <c r="K115" t="s">
        <v>674</v>
      </c>
      <c r="M115" t="s">
        <v>691</v>
      </c>
      <c r="N115" t="s">
        <v>690</v>
      </c>
      <c r="O115" t="s">
        <v>690</v>
      </c>
      <c r="P115" t="s">
        <v>692</v>
      </c>
      <c r="R115" t="s">
        <v>702</v>
      </c>
      <c r="S115" t="s">
        <v>705</v>
      </c>
    </row>
    <row r="116" spans="1:19" x14ac:dyDescent="0.2">
      <c r="A116" t="s">
        <v>619</v>
      </c>
      <c r="B116">
        <v>28</v>
      </c>
      <c r="C116" t="s">
        <v>126</v>
      </c>
      <c r="D116" t="s">
        <v>696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J116" t="s">
        <v>679</v>
      </c>
      <c r="K116" t="s">
        <v>674</v>
      </c>
      <c r="M116" t="s">
        <v>689</v>
      </c>
      <c r="N116" t="s">
        <v>690</v>
      </c>
      <c r="O116" t="s">
        <v>689</v>
      </c>
      <c r="P116" t="s">
        <v>692</v>
      </c>
      <c r="R116" t="s">
        <v>702</v>
      </c>
      <c r="S116" t="s">
        <v>705</v>
      </c>
    </row>
    <row r="117" spans="1:19" x14ac:dyDescent="0.2">
      <c r="A117" t="s">
        <v>620</v>
      </c>
      <c r="B117">
        <v>1</v>
      </c>
      <c r="C117" t="s">
        <v>127</v>
      </c>
      <c r="D117" t="s">
        <v>696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J117" t="s">
        <v>679</v>
      </c>
      <c r="K117" t="s">
        <v>673</v>
      </c>
      <c r="M117" t="s">
        <v>689</v>
      </c>
      <c r="N117" t="s">
        <v>689</v>
      </c>
      <c r="O117" t="s">
        <v>691</v>
      </c>
      <c r="P117" t="s">
        <v>690</v>
      </c>
      <c r="R117" t="s">
        <v>702</v>
      </c>
      <c r="S117" t="s">
        <v>705</v>
      </c>
    </row>
    <row r="118" spans="1:19" x14ac:dyDescent="0.2">
      <c r="A118" t="s">
        <v>620</v>
      </c>
      <c r="B118">
        <v>2</v>
      </c>
      <c r="C118" t="s">
        <v>128</v>
      </c>
      <c r="D118" t="s">
        <v>697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128</v>
      </c>
      <c r="I118" s="4" t="s">
        <v>129</v>
      </c>
      <c r="J118" t="s">
        <v>679</v>
      </c>
      <c r="K118" t="s">
        <v>673</v>
      </c>
      <c r="M118" t="s">
        <v>690</v>
      </c>
      <c r="N118" t="s">
        <v>690</v>
      </c>
      <c r="O118" t="s">
        <v>692</v>
      </c>
      <c r="P118" t="s">
        <v>690</v>
      </c>
      <c r="R118" t="s">
        <v>702</v>
      </c>
      <c r="S118" t="s">
        <v>706</v>
      </c>
    </row>
    <row r="119" spans="1:19" x14ac:dyDescent="0.2">
      <c r="A119" t="s">
        <v>620</v>
      </c>
      <c r="B119">
        <v>3</v>
      </c>
      <c r="C119" t="s">
        <v>130</v>
      </c>
      <c r="D119" t="s">
        <v>696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131</v>
      </c>
      <c r="I119" t="s">
        <v>130</v>
      </c>
      <c r="J119" t="s">
        <v>679</v>
      </c>
      <c r="K119" t="s">
        <v>673</v>
      </c>
      <c r="M119" t="s">
        <v>689</v>
      </c>
      <c r="N119" t="s">
        <v>691</v>
      </c>
      <c r="O119" t="s">
        <v>691</v>
      </c>
      <c r="P119" t="s">
        <v>690</v>
      </c>
      <c r="R119" t="s">
        <v>702</v>
      </c>
      <c r="S119" t="s">
        <v>706</v>
      </c>
    </row>
    <row r="120" spans="1:19" x14ac:dyDescent="0.2">
      <c r="A120" t="s">
        <v>620</v>
      </c>
      <c r="B120">
        <v>4</v>
      </c>
      <c r="C120" t="s">
        <v>132</v>
      </c>
      <c r="D120" t="s">
        <v>697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132</v>
      </c>
      <c r="I120" s="4" t="s">
        <v>133</v>
      </c>
      <c r="J120" t="s">
        <v>679</v>
      </c>
      <c r="K120" t="s">
        <v>670</v>
      </c>
      <c r="M120" t="s">
        <v>691</v>
      </c>
      <c r="N120" t="s">
        <v>690</v>
      </c>
      <c r="O120" t="s">
        <v>692</v>
      </c>
      <c r="P120" t="s">
        <v>689</v>
      </c>
      <c r="R120" t="s">
        <v>702</v>
      </c>
      <c r="S120" t="s">
        <v>706</v>
      </c>
    </row>
    <row r="121" spans="1:19" x14ac:dyDescent="0.2">
      <c r="A121" t="s">
        <v>620</v>
      </c>
      <c r="B121">
        <v>5</v>
      </c>
      <c r="C121" t="s">
        <v>134</v>
      </c>
      <c r="D121" t="s">
        <v>697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134</v>
      </c>
      <c r="I121" s="4" t="s">
        <v>135</v>
      </c>
      <c r="J121" t="s">
        <v>679</v>
      </c>
      <c r="K121" t="s">
        <v>670</v>
      </c>
      <c r="M121" t="s">
        <v>691</v>
      </c>
      <c r="N121" t="s">
        <v>690</v>
      </c>
      <c r="O121" t="s">
        <v>692</v>
      </c>
      <c r="P121" t="s">
        <v>690</v>
      </c>
      <c r="R121" t="s">
        <v>702</v>
      </c>
      <c r="S121" t="s">
        <v>706</v>
      </c>
    </row>
    <row r="122" spans="1:19" x14ac:dyDescent="0.2">
      <c r="A122" t="s">
        <v>620</v>
      </c>
      <c r="B122">
        <v>6</v>
      </c>
      <c r="C122" t="s">
        <v>136</v>
      </c>
      <c r="D122" t="s">
        <v>697</v>
      </c>
      <c r="E122" s="3">
        <v>50</v>
      </c>
      <c r="F122" s="3">
        <f>74.2-24.7</f>
        <v>49.5</v>
      </c>
      <c r="G122" s="3">
        <f t="shared" si="1"/>
        <v>58.4</v>
      </c>
      <c r="H122" t="s">
        <v>136</v>
      </c>
      <c r="J122" t="s">
        <v>679</v>
      </c>
      <c r="K122" t="s">
        <v>670</v>
      </c>
      <c r="M122" t="s">
        <v>691</v>
      </c>
      <c r="N122" t="s">
        <v>690</v>
      </c>
      <c r="O122" t="s">
        <v>692</v>
      </c>
      <c r="P122" t="s">
        <v>690</v>
      </c>
      <c r="R122" t="s">
        <v>702</v>
      </c>
      <c r="S122" t="s">
        <v>706</v>
      </c>
    </row>
    <row r="123" spans="1:19" x14ac:dyDescent="0.2">
      <c r="A123" t="s">
        <v>620</v>
      </c>
      <c r="B123">
        <v>7</v>
      </c>
      <c r="C123" t="s">
        <v>137</v>
      </c>
      <c r="D123" t="s">
        <v>696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137</v>
      </c>
      <c r="J123" t="s">
        <v>679</v>
      </c>
      <c r="K123" t="s">
        <v>671</v>
      </c>
      <c r="M123" t="s">
        <v>692</v>
      </c>
      <c r="N123" t="s">
        <v>691</v>
      </c>
      <c r="O123" t="s">
        <v>690</v>
      </c>
      <c r="P123" t="s">
        <v>690</v>
      </c>
      <c r="R123" t="s">
        <v>702</v>
      </c>
      <c r="S123" t="s">
        <v>706</v>
      </c>
    </row>
    <row r="124" spans="1:19" x14ac:dyDescent="0.2">
      <c r="A124" t="s">
        <v>620</v>
      </c>
      <c r="B124">
        <v>8</v>
      </c>
      <c r="C124" t="s">
        <v>138</v>
      </c>
      <c r="D124" t="s">
        <v>696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139</v>
      </c>
      <c r="I124" s="6" t="s">
        <v>138</v>
      </c>
      <c r="J124" t="s">
        <v>679</v>
      </c>
      <c r="K124" t="s">
        <v>673</v>
      </c>
      <c r="M124" t="s">
        <v>690</v>
      </c>
      <c r="N124" t="s">
        <v>689</v>
      </c>
      <c r="O124" t="s">
        <v>691</v>
      </c>
      <c r="P124" t="s">
        <v>690</v>
      </c>
      <c r="R124" t="s">
        <v>702</v>
      </c>
      <c r="S124" t="s">
        <v>706</v>
      </c>
    </row>
    <row r="125" spans="1:19" x14ac:dyDescent="0.2">
      <c r="A125" t="s">
        <v>620</v>
      </c>
      <c r="B125">
        <v>9</v>
      </c>
      <c r="C125" t="s">
        <v>140</v>
      </c>
      <c r="D125" t="s">
        <v>696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141</v>
      </c>
      <c r="I125" s="6" t="s">
        <v>140</v>
      </c>
      <c r="J125" t="s">
        <v>679</v>
      </c>
      <c r="K125" t="s">
        <v>673</v>
      </c>
      <c r="M125" t="s">
        <v>689</v>
      </c>
      <c r="N125" t="s">
        <v>691</v>
      </c>
      <c r="O125" t="s">
        <v>689</v>
      </c>
      <c r="P125" t="s">
        <v>690</v>
      </c>
      <c r="R125" t="s">
        <v>702</v>
      </c>
      <c r="S125" t="s">
        <v>706</v>
      </c>
    </row>
    <row r="126" spans="1:19" x14ac:dyDescent="0.2">
      <c r="A126" t="s">
        <v>620</v>
      </c>
      <c r="B126">
        <v>10</v>
      </c>
      <c r="C126" t="s">
        <v>142</v>
      </c>
      <c r="D126" t="s">
        <v>696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143</v>
      </c>
      <c r="J126" t="s">
        <v>679</v>
      </c>
      <c r="K126" t="s">
        <v>673</v>
      </c>
      <c r="M126" t="s">
        <v>689</v>
      </c>
      <c r="N126" t="s">
        <v>691</v>
      </c>
      <c r="O126" t="s">
        <v>689</v>
      </c>
      <c r="P126" t="s">
        <v>690</v>
      </c>
      <c r="R126" t="s">
        <v>702</v>
      </c>
      <c r="S126" t="s">
        <v>706</v>
      </c>
    </row>
    <row r="127" spans="1:19" x14ac:dyDescent="0.2">
      <c r="A127" t="s">
        <v>620</v>
      </c>
      <c r="B127">
        <v>11</v>
      </c>
      <c r="C127" t="s">
        <v>144</v>
      </c>
      <c r="D127" t="s">
        <v>696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145</v>
      </c>
      <c r="J127" t="s">
        <v>679</v>
      </c>
      <c r="K127" t="s">
        <v>673</v>
      </c>
      <c r="M127" t="s">
        <v>691</v>
      </c>
      <c r="N127" t="s">
        <v>691</v>
      </c>
      <c r="O127" t="s">
        <v>689</v>
      </c>
      <c r="P127" t="s">
        <v>690</v>
      </c>
      <c r="R127" t="s">
        <v>702</v>
      </c>
      <c r="S127" t="s">
        <v>706</v>
      </c>
    </row>
    <row r="128" spans="1:19" x14ac:dyDescent="0.2">
      <c r="A128" t="s">
        <v>620</v>
      </c>
      <c r="B128">
        <v>12</v>
      </c>
      <c r="C128" t="s">
        <v>146</v>
      </c>
      <c r="D128" t="s">
        <v>696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146</v>
      </c>
      <c r="J128" t="s">
        <v>679</v>
      </c>
      <c r="K128" t="s">
        <v>673</v>
      </c>
      <c r="M128" t="s">
        <v>690</v>
      </c>
      <c r="N128" t="s">
        <v>689</v>
      </c>
      <c r="O128" t="s">
        <v>691</v>
      </c>
      <c r="P128" t="s">
        <v>690</v>
      </c>
      <c r="R128" t="s">
        <v>702</v>
      </c>
      <c r="S128" t="s">
        <v>706</v>
      </c>
    </row>
    <row r="129" spans="1:19" x14ac:dyDescent="0.2">
      <c r="A129" t="s">
        <v>620</v>
      </c>
      <c r="B129">
        <v>13</v>
      </c>
      <c r="C129" t="s">
        <v>48</v>
      </c>
      <c r="D129" t="s">
        <v>698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147</v>
      </c>
      <c r="I129" s="4" t="s">
        <v>148</v>
      </c>
      <c r="J129" t="s">
        <v>679</v>
      </c>
      <c r="K129" t="s">
        <v>670</v>
      </c>
      <c r="M129" t="s">
        <v>689</v>
      </c>
      <c r="N129" t="s">
        <v>690</v>
      </c>
      <c r="O129" t="s">
        <v>692</v>
      </c>
      <c r="P129" t="s">
        <v>690</v>
      </c>
      <c r="R129" t="s">
        <v>702</v>
      </c>
      <c r="S129" t="s">
        <v>706</v>
      </c>
    </row>
    <row r="130" spans="1:19" x14ac:dyDescent="0.2">
      <c r="A130" t="s">
        <v>620</v>
      </c>
      <c r="B130">
        <v>14</v>
      </c>
      <c r="C130" t="s">
        <v>149</v>
      </c>
      <c r="D130" t="s">
        <v>696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150</v>
      </c>
      <c r="I130" t="s">
        <v>149</v>
      </c>
      <c r="J130" t="s">
        <v>679</v>
      </c>
      <c r="K130" t="s">
        <v>673</v>
      </c>
      <c r="M130" t="s">
        <v>690</v>
      </c>
      <c r="N130" t="s">
        <v>691</v>
      </c>
      <c r="O130" t="s">
        <v>689</v>
      </c>
      <c r="P130" t="s">
        <v>690</v>
      </c>
      <c r="R130" t="s">
        <v>702</v>
      </c>
      <c r="S130" t="s">
        <v>706</v>
      </c>
    </row>
    <row r="131" spans="1:19" x14ac:dyDescent="0.2">
      <c r="A131" t="s">
        <v>621</v>
      </c>
      <c r="B131">
        <v>1</v>
      </c>
      <c r="C131" t="s">
        <v>151</v>
      </c>
      <c r="D131" t="s">
        <v>697</v>
      </c>
      <c r="E131" s="3">
        <v>24.7</v>
      </c>
      <c r="F131" s="3">
        <f>63.9-34.5</f>
        <v>29.4</v>
      </c>
      <c r="G131" s="3">
        <f t="shared" si="2"/>
        <v>33.1</v>
      </c>
      <c r="J131" t="s">
        <v>680</v>
      </c>
      <c r="K131" t="s">
        <v>674</v>
      </c>
      <c r="M131" t="s">
        <v>691</v>
      </c>
      <c r="N131" t="s">
        <v>690</v>
      </c>
      <c r="O131" t="s">
        <v>690</v>
      </c>
      <c r="P131" t="s">
        <v>690</v>
      </c>
      <c r="R131" t="s">
        <v>702</v>
      </c>
      <c r="S131" t="s">
        <v>705</v>
      </c>
    </row>
    <row r="132" spans="1:19" x14ac:dyDescent="0.2">
      <c r="A132" t="s">
        <v>621</v>
      </c>
      <c r="B132">
        <v>2</v>
      </c>
      <c r="C132" t="s">
        <v>152</v>
      </c>
      <c r="D132" t="s">
        <v>697</v>
      </c>
      <c r="E132" s="3">
        <v>21.6</v>
      </c>
      <c r="F132" s="3">
        <f>63.6-34.1</f>
        <v>29.5</v>
      </c>
      <c r="G132" s="3">
        <f t="shared" si="2"/>
        <v>30</v>
      </c>
      <c r="J132" t="s">
        <v>680</v>
      </c>
      <c r="K132" t="s">
        <v>674</v>
      </c>
      <c r="M132" t="s">
        <v>689</v>
      </c>
      <c r="N132" t="s">
        <v>690</v>
      </c>
      <c r="O132" t="s">
        <v>690</v>
      </c>
      <c r="P132" t="s">
        <v>690</v>
      </c>
      <c r="R132" t="s">
        <v>702</v>
      </c>
      <c r="S132" t="s">
        <v>705</v>
      </c>
    </row>
    <row r="133" spans="1:19" x14ac:dyDescent="0.2">
      <c r="A133" t="s">
        <v>622</v>
      </c>
      <c r="B133">
        <v>1</v>
      </c>
      <c r="C133" t="s">
        <v>153</v>
      </c>
      <c r="D133" t="s">
        <v>696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154</v>
      </c>
      <c r="I133" t="s">
        <v>153</v>
      </c>
      <c r="J133" t="s">
        <v>668</v>
      </c>
      <c r="K133" t="s">
        <v>673</v>
      </c>
      <c r="M133" t="s">
        <v>689</v>
      </c>
      <c r="N133" t="s">
        <v>692</v>
      </c>
      <c r="O133" t="s">
        <v>690</v>
      </c>
      <c r="P133" t="s">
        <v>690</v>
      </c>
      <c r="R133" t="s">
        <v>702</v>
      </c>
      <c r="S133" t="s">
        <v>706</v>
      </c>
    </row>
    <row r="134" spans="1:19" x14ac:dyDescent="0.2">
      <c r="A134" t="s">
        <v>622</v>
      </c>
      <c r="B134">
        <v>2</v>
      </c>
      <c r="C134" t="s">
        <v>155</v>
      </c>
      <c r="D134" t="s">
        <v>696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156</v>
      </c>
      <c r="I134" t="s">
        <v>155</v>
      </c>
      <c r="J134" t="s">
        <v>668</v>
      </c>
      <c r="K134" t="s">
        <v>673</v>
      </c>
      <c r="M134" t="s">
        <v>689</v>
      </c>
      <c r="N134" t="s">
        <v>692</v>
      </c>
      <c r="O134" t="s">
        <v>690</v>
      </c>
      <c r="P134" t="s">
        <v>690</v>
      </c>
      <c r="R134" t="s">
        <v>702</v>
      </c>
      <c r="S134" t="s">
        <v>706</v>
      </c>
    </row>
    <row r="135" spans="1:19" x14ac:dyDescent="0.2">
      <c r="A135" t="s">
        <v>623</v>
      </c>
      <c r="B135">
        <v>1</v>
      </c>
      <c r="C135" t="s">
        <v>157</v>
      </c>
      <c r="D135" t="s">
        <v>697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157</v>
      </c>
      <c r="I135" s="4" t="s">
        <v>158</v>
      </c>
      <c r="J135" t="s">
        <v>666</v>
      </c>
      <c r="K135" t="s">
        <v>670</v>
      </c>
      <c r="M135" t="s">
        <v>689</v>
      </c>
      <c r="N135" t="s">
        <v>690</v>
      </c>
      <c r="O135" t="s">
        <v>692</v>
      </c>
      <c r="P135" t="s">
        <v>690</v>
      </c>
      <c r="R135" t="s">
        <v>702</v>
      </c>
      <c r="S135" t="s">
        <v>706</v>
      </c>
    </row>
    <row r="136" spans="1:19" x14ac:dyDescent="0.2">
      <c r="A136" t="s">
        <v>623</v>
      </c>
      <c r="B136">
        <v>2</v>
      </c>
      <c r="C136" t="s">
        <v>159</v>
      </c>
      <c r="D136" t="s">
        <v>697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160</v>
      </c>
      <c r="I136" s="4" t="s">
        <v>161</v>
      </c>
      <c r="J136" t="s">
        <v>666</v>
      </c>
      <c r="K136" t="s">
        <v>670</v>
      </c>
      <c r="M136" t="s">
        <v>690</v>
      </c>
      <c r="N136" t="s">
        <v>690</v>
      </c>
      <c r="O136" t="s">
        <v>692</v>
      </c>
      <c r="P136" t="s">
        <v>690</v>
      </c>
      <c r="R136" t="s">
        <v>702</v>
      </c>
      <c r="S136" t="s">
        <v>706</v>
      </c>
    </row>
    <row r="137" spans="1:19" x14ac:dyDescent="0.2">
      <c r="A137" t="s">
        <v>623</v>
      </c>
      <c r="B137">
        <v>3</v>
      </c>
      <c r="C137" t="s">
        <v>162</v>
      </c>
      <c r="D137" t="s">
        <v>697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162</v>
      </c>
      <c r="I137" s="4" t="s">
        <v>163</v>
      </c>
      <c r="J137" t="s">
        <v>666</v>
      </c>
      <c r="K137" t="s">
        <v>670</v>
      </c>
      <c r="M137" t="s">
        <v>689</v>
      </c>
      <c r="N137" t="s">
        <v>690</v>
      </c>
      <c r="O137" t="s">
        <v>690</v>
      </c>
      <c r="P137" t="s">
        <v>691</v>
      </c>
      <c r="R137" t="s">
        <v>702</v>
      </c>
      <c r="S137" t="s">
        <v>706</v>
      </c>
    </row>
    <row r="138" spans="1:19" x14ac:dyDescent="0.2">
      <c r="A138" t="s">
        <v>623</v>
      </c>
      <c r="B138">
        <v>4</v>
      </c>
      <c r="C138" t="s">
        <v>164</v>
      </c>
      <c r="D138" t="s">
        <v>697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165</v>
      </c>
      <c r="I138" s="4" t="s">
        <v>166</v>
      </c>
      <c r="J138" t="s">
        <v>666</v>
      </c>
      <c r="K138" t="s">
        <v>670</v>
      </c>
      <c r="M138" t="s">
        <v>690</v>
      </c>
      <c r="N138" t="s">
        <v>690</v>
      </c>
      <c r="O138" t="s">
        <v>690</v>
      </c>
      <c r="P138" t="s">
        <v>692</v>
      </c>
      <c r="R138" t="s">
        <v>702</v>
      </c>
      <c r="S138" t="s">
        <v>706</v>
      </c>
    </row>
    <row r="139" spans="1:19" x14ac:dyDescent="0.2">
      <c r="A139" t="s">
        <v>623</v>
      </c>
      <c r="B139">
        <v>5</v>
      </c>
      <c r="C139" t="s">
        <v>167</v>
      </c>
      <c r="D139" t="s">
        <v>697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167</v>
      </c>
      <c r="I139" s="4" t="s">
        <v>168</v>
      </c>
      <c r="J139" t="s">
        <v>666</v>
      </c>
      <c r="K139" t="s">
        <v>670</v>
      </c>
      <c r="M139" t="s">
        <v>692</v>
      </c>
      <c r="N139" t="s">
        <v>691</v>
      </c>
      <c r="O139" t="s">
        <v>690</v>
      </c>
      <c r="P139" t="s">
        <v>690</v>
      </c>
      <c r="R139" t="s">
        <v>702</v>
      </c>
      <c r="S139" t="s">
        <v>706</v>
      </c>
    </row>
    <row r="140" spans="1:19" x14ac:dyDescent="0.2">
      <c r="A140" t="s">
        <v>623</v>
      </c>
      <c r="B140">
        <v>6</v>
      </c>
      <c r="C140" t="s">
        <v>169</v>
      </c>
      <c r="D140" t="s">
        <v>697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169</v>
      </c>
      <c r="I140" s="4" t="s">
        <v>170</v>
      </c>
      <c r="J140" t="s">
        <v>666</v>
      </c>
      <c r="K140" t="s">
        <v>670</v>
      </c>
      <c r="M140" t="s">
        <v>691</v>
      </c>
      <c r="N140" t="s">
        <v>691</v>
      </c>
      <c r="O140" t="s">
        <v>690</v>
      </c>
      <c r="P140" t="s">
        <v>690</v>
      </c>
      <c r="R140" t="s">
        <v>702</v>
      </c>
      <c r="S140" t="s">
        <v>706</v>
      </c>
    </row>
    <row r="141" spans="1:19" x14ac:dyDescent="0.2">
      <c r="A141" t="s">
        <v>623</v>
      </c>
      <c r="B141">
        <v>7</v>
      </c>
      <c r="C141" t="s">
        <v>171</v>
      </c>
      <c r="D141" t="s">
        <v>697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172</v>
      </c>
      <c r="I141" s="4" t="s">
        <v>173</v>
      </c>
      <c r="J141" t="s">
        <v>666</v>
      </c>
      <c r="K141" t="s">
        <v>670</v>
      </c>
      <c r="M141" t="s">
        <v>691</v>
      </c>
      <c r="N141" t="s">
        <v>690</v>
      </c>
      <c r="O141" t="s">
        <v>691</v>
      </c>
      <c r="P141" t="s">
        <v>690</v>
      </c>
      <c r="R141" t="s">
        <v>702</v>
      </c>
      <c r="S141" t="s">
        <v>706</v>
      </c>
    </row>
    <row r="142" spans="1:19" x14ac:dyDescent="0.2">
      <c r="A142" t="s">
        <v>623</v>
      </c>
      <c r="B142">
        <v>8</v>
      </c>
      <c r="C142" t="s">
        <v>174</v>
      </c>
      <c r="D142" t="s">
        <v>697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175</v>
      </c>
      <c r="I142" s="4" t="s">
        <v>176</v>
      </c>
      <c r="J142" t="s">
        <v>666</v>
      </c>
      <c r="K142" t="s">
        <v>670</v>
      </c>
      <c r="M142" t="s">
        <v>691</v>
      </c>
      <c r="N142" t="s">
        <v>689</v>
      </c>
      <c r="O142" t="s">
        <v>690</v>
      </c>
      <c r="P142" t="s">
        <v>689</v>
      </c>
      <c r="R142" t="s">
        <v>702</v>
      </c>
      <c r="S142" t="s">
        <v>706</v>
      </c>
    </row>
    <row r="143" spans="1:19" x14ac:dyDescent="0.2">
      <c r="A143" t="s">
        <v>623</v>
      </c>
      <c r="B143">
        <v>9</v>
      </c>
      <c r="C143" t="s">
        <v>177</v>
      </c>
      <c r="D143" t="s">
        <v>697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178</v>
      </c>
      <c r="I143" s="4" t="s">
        <v>179</v>
      </c>
      <c r="J143" t="s">
        <v>666</v>
      </c>
      <c r="K143" t="s">
        <v>671</v>
      </c>
      <c r="M143" t="s">
        <v>692</v>
      </c>
      <c r="N143" t="s">
        <v>691</v>
      </c>
      <c r="O143" t="s">
        <v>690</v>
      </c>
      <c r="P143" t="s">
        <v>690</v>
      </c>
      <c r="R143" t="s">
        <v>702</v>
      </c>
      <c r="S143" t="s">
        <v>706</v>
      </c>
    </row>
    <row r="144" spans="1:19" x14ac:dyDescent="0.2">
      <c r="A144" t="s">
        <v>623</v>
      </c>
      <c r="B144">
        <v>10</v>
      </c>
      <c r="C144" t="s">
        <v>180</v>
      </c>
      <c r="D144" t="s">
        <v>697</v>
      </c>
      <c r="E144" s="3">
        <v>22</v>
      </c>
      <c r="F144" s="3">
        <f>62-36.1</f>
        <v>25.9</v>
      </c>
      <c r="G144" s="3">
        <f t="shared" si="2"/>
        <v>30.4</v>
      </c>
      <c r="H144" s="6" t="s">
        <v>180</v>
      </c>
      <c r="I144" s="4" t="s">
        <v>181</v>
      </c>
      <c r="J144" t="s">
        <v>666</v>
      </c>
      <c r="K144" t="s">
        <v>671</v>
      </c>
      <c r="M144" t="s">
        <v>691</v>
      </c>
      <c r="N144" t="s">
        <v>691</v>
      </c>
      <c r="O144" t="s">
        <v>690</v>
      </c>
      <c r="P144" t="s">
        <v>689</v>
      </c>
      <c r="R144" t="s">
        <v>702</v>
      </c>
      <c r="S144" t="s">
        <v>706</v>
      </c>
    </row>
    <row r="145" spans="1:19" x14ac:dyDescent="0.2">
      <c r="A145" t="s">
        <v>623</v>
      </c>
      <c r="B145">
        <v>11</v>
      </c>
      <c r="C145" t="s">
        <v>182</v>
      </c>
      <c r="D145" t="s">
        <v>697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182</v>
      </c>
      <c r="I145" s="4" t="s">
        <v>183</v>
      </c>
      <c r="J145" t="s">
        <v>666</v>
      </c>
      <c r="K145" t="s">
        <v>671</v>
      </c>
      <c r="M145" t="s">
        <v>691</v>
      </c>
      <c r="N145" t="s">
        <v>691</v>
      </c>
      <c r="O145" t="s">
        <v>690</v>
      </c>
      <c r="P145" t="s">
        <v>689</v>
      </c>
      <c r="R145" t="s">
        <v>702</v>
      </c>
      <c r="S145" t="s">
        <v>706</v>
      </c>
    </row>
    <row r="146" spans="1:19" x14ac:dyDescent="0.2">
      <c r="A146" t="s">
        <v>623</v>
      </c>
      <c r="B146">
        <v>12</v>
      </c>
      <c r="C146" t="s">
        <v>184</v>
      </c>
      <c r="D146" t="s">
        <v>696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185</v>
      </c>
      <c r="I146" t="s">
        <v>184</v>
      </c>
      <c r="J146" t="s">
        <v>666</v>
      </c>
      <c r="K146" t="s">
        <v>673</v>
      </c>
      <c r="M146" t="s">
        <v>690</v>
      </c>
      <c r="N146" t="s">
        <v>692</v>
      </c>
      <c r="O146" t="s">
        <v>690</v>
      </c>
      <c r="P146" t="s">
        <v>690</v>
      </c>
      <c r="R146" t="s">
        <v>702</v>
      </c>
      <c r="S146" t="s">
        <v>706</v>
      </c>
    </row>
    <row r="147" spans="1:19" x14ac:dyDescent="0.2">
      <c r="A147" t="s">
        <v>623</v>
      </c>
      <c r="B147">
        <v>13</v>
      </c>
      <c r="C147" t="s">
        <v>186</v>
      </c>
      <c r="D147" t="s">
        <v>697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186</v>
      </c>
      <c r="I147" s="4" t="s">
        <v>187</v>
      </c>
      <c r="J147" t="s">
        <v>666</v>
      </c>
      <c r="K147" t="s">
        <v>674</v>
      </c>
      <c r="M147" t="s">
        <v>689</v>
      </c>
      <c r="N147" t="s">
        <v>691</v>
      </c>
      <c r="O147" t="s">
        <v>689</v>
      </c>
      <c r="P147" t="s">
        <v>690</v>
      </c>
      <c r="R147" t="s">
        <v>702</v>
      </c>
      <c r="S147" t="s">
        <v>706</v>
      </c>
    </row>
    <row r="148" spans="1:19" x14ac:dyDescent="0.2">
      <c r="A148" t="s">
        <v>623</v>
      </c>
      <c r="B148">
        <v>14</v>
      </c>
      <c r="C148" t="s">
        <v>188</v>
      </c>
      <c r="D148" t="s">
        <v>697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188</v>
      </c>
      <c r="I148" s="4" t="s">
        <v>189</v>
      </c>
      <c r="J148" t="s">
        <v>666</v>
      </c>
      <c r="K148" t="s">
        <v>672</v>
      </c>
      <c r="M148" t="s">
        <v>689</v>
      </c>
      <c r="N148" t="s">
        <v>691</v>
      </c>
      <c r="O148" t="s">
        <v>689</v>
      </c>
      <c r="P148" t="s">
        <v>689</v>
      </c>
      <c r="R148" t="s">
        <v>702</v>
      </c>
      <c r="S148" t="s">
        <v>706</v>
      </c>
    </row>
    <row r="149" spans="1:19" x14ac:dyDescent="0.2">
      <c r="A149" t="s">
        <v>623</v>
      </c>
      <c r="B149">
        <v>15</v>
      </c>
      <c r="C149" t="s">
        <v>190</v>
      </c>
      <c r="D149" t="s">
        <v>696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191</v>
      </c>
      <c r="I149" s="6" t="s">
        <v>190</v>
      </c>
      <c r="J149" t="s">
        <v>666</v>
      </c>
      <c r="K149" t="s">
        <v>673</v>
      </c>
      <c r="M149" t="s">
        <v>689</v>
      </c>
      <c r="N149" t="s">
        <v>692</v>
      </c>
      <c r="O149" t="s">
        <v>690</v>
      </c>
      <c r="P149" t="s">
        <v>690</v>
      </c>
      <c r="R149" t="s">
        <v>702</v>
      </c>
      <c r="S149" t="s">
        <v>706</v>
      </c>
    </row>
    <row r="150" spans="1:19" x14ac:dyDescent="0.2">
      <c r="A150" t="s">
        <v>623</v>
      </c>
      <c r="B150">
        <v>16</v>
      </c>
      <c r="C150" t="s">
        <v>192</v>
      </c>
      <c r="D150" t="s">
        <v>696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193</v>
      </c>
      <c r="I150" s="6" t="s">
        <v>192</v>
      </c>
      <c r="J150" t="s">
        <v>666</v>
      </c>
      <c r="K150" t="s">
        <v>673</v>
      </c>
      <c r="M150" t="s">
        <v>689</v>
      </c>
      <c r="N150" t="s">
        <v>692</v>
      </c>
      <c r="O150" t="s">
        <v>690</v>
      </c>
      <c r="P150" t="s">
        <v>690</v>
      </c>
      <c r="R150" t="s">
        <v>702</v>
      </c>
      <c r="S150" t="s">
        <v>706</v>
      </c>
    </row>
    <row r="151" spans="1:19" x14ac:dyDescent="0.2">
      <c r="A151" t="s">
        <v>623</v>
      </c>
      <c r="B151">
        <v>17</v>
      </c>
      <c r="C151" t="s">
        <v>194</v>
      </c>
      <c r="D151" t="s">
        <v>697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194</v>
      </c>
      <c r="I151" s="4" t="s">
        <v>195</v>
      </c>
      <c r="J151" t="s">
        <v>666</v>
      </c>
      <c r="K151" t="s">
        <v>674</v>
      </c>
      <c r="M151" t="s">
        <v>690</v>
      </c>
      <c r="N151" t="s">
        <v>691</v>
      </c>
      <c r="O151" t="s">
        <v>689</v>
      </c>
      <c r="P151" t="s">
        <v>690</v>
      </c>
      <c r="R151" t="s">
        <v>702</v>
      </c>
      <c r="S151" t="s">
        <v>706</v>
      </c>
    </row>
    <row r="152" spans="1:19" x14ac:dyDescent="0.2">
      <c r="A152" t="s">
        <v>624</v>
      </c>
      <c r="B152">
        <v>1</v>
      </c>
      <c r="C152" t="s">
        <v>196</v>
      </c>
      <c r="D152" t="s">
        <v>697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196</v>
      </c>
      <c r="I152" s="4" t="s">
        <v>197</v>
      </c>
      <c r="J152" t="s">
        <v>666</v>
      </c>
      <c r="K152" t="s">
        <v>671</v>
      </c>
      <c r="M152" t="s">
        <v>689</v>
      </c>
      <c r="N152" t="s">
        <v>692</v>
      </c>
      <c r="O152" t="s">
        <v>689</v>
      </c>
      <c r="P152" t="s">
        <v>690</v>
      </c>
      <c r="R152" t="s">
        <v>702</v>
      </c>
      <c r="S152" t="s">
        <v>706</v>
      </c>
    </row>
    <row r="153" spans="1:19" x14ac:dyDescent="0.2">
      <c r="A153" t="s">
        <v>624</v>
      </c>
      <c r="B153">
        <v>2</v>
      </c>
      <c r="C153" t="s">
        <v>198</v>
      </c>
      <c r="D153" t="s">
        <v>696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199</v>
      </c>
      <c r="I153" s="6" t="s">
        <v>198</v>
      </c>
      <c r="J153" t="s">
        <v>666</v>
      </c>
      <c r="K153" t="s">
        <v>672</v>
      </c>
      <c r="M153" t="s">
        <v>690</v>
      </c>
      <c r="N153" t="s">
        <v>692</v>
      </c>
      <c r="O153" t="s">
        <v>690</v>
      </c>
      <c r="P153" t="s">
        <v>690</v>
      </c>
      <c r="R153" t="s">
        <v>702</v>
      </c>
      <c r="S153" t="s">
        <v>706</v>
      </c>
    </row>
    <row r="154" spans="1:19" x14ac:dyDescent="0.2">
      <c r="A154" t="s">
        <v>624</v>
      </c>
      <c r="B154">
        <v>3</v>
      </c>
      <c r="C154" t="s">
        <v>200</v>
      </c>
      <c r="D154" t="s">
        <v>696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201</v>
      </c>
      <c r="I154" s="6" t="s">
        <v>200</v>
      </c>
      <c r="J154" t="s">
        <v>666</v>
      </c>
      <c r="K154" t="s">
        <v>673</v>
      </c>
      <c r="M154" t="s">
        <v>690</v>
      </c>
      <c r="N154" t="s">
        <v>692</v>
      </c>
      <c r="O154" t="s">
        <v>690</v>
      </c>
      <c r="P154" t="s">
        <v>690</v>
      </c>
      <c r="R154" t="s">
        <v>702</v>
      </c>
      <c r="S154" t="s">
        <v>706</v>
      </c>
    </row>
    <row r="155" spans="1:19" x14ac:dyDescent="0.2">
      <c r="A155" t="s">
        <v>624</v>
      </c>
      <c r="B155">
        <v>4</v>
      </c>
      <c r="C155" t="s">
        <v>202</v>
      </c>
      <c r="D155" t="s">
        <v>696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203</v>
      </c>
      <c r="I155" s="6" t="s">
        <v>202</v>
      </c>
      <c r="J155" t="s">
        <v>666</v>
      </c>
      <c r="K155" t="s">
        <v>673</v>
      </c>
      <c r="M155" t="s">
        <v>689</v>
      </c>
      <c r="N155" t="s">
        <v>692</v>
      </c>
      <c r="O155" t="s">
        <v>690</v>
      </c>
      <c r="P155" t="s">
        <v>690</v>
      </c>
      <c r="R155" t="s">
        <v>702</v>
      </c>
      <c r="S155" t="s">
        <v>706</v>
      </c>
    </row>
    <row r="156" spans="1:19" x14ac:dyDescent="0.2">
      <c r="A156" t="s">
        <v>624</v>
      </c>
      <c r="B156">
        <v>5</v>
      </c>
      <c r="C156" t="s">
        <v>204</v>
      </c>
      <c r="D156" t="s">
        <v>696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205</v>
      </c>
      <c r="I156" s="6" t="s">
        <v>204</v>
      </c>
      <c r="J156" t="s">
        <v>666</v>
      </c>
      <c r="K156" t="s">
        <v>671</v>
      </c>
      <c r="M156" t="s">
        <v>691</v>
      </c>
      <c r="N156" t="s">
        <v>692</v>
      </c>
      <c r="O156" t="s">
        <v>690</v>
      </c>
      <c r="P156" t="s">
        <v>690</v>
      </c>
      <c r="R156" t="s">
        <v>702</v>
      </c>
      <c r="S156" t="s">
        <v>706</v>
      </c>
    </row>
    <row r="157" spans="1:19" x14ac:dyDescent="0.2">
      <c r="A157" t="s">
        <v>624</v>
      </c>
      <c r="B157">
        <v>6</v>
      </c>
      <c r="C157" t="s">
        <v>206</v>
      </c>
      <c r="D157" t="s">
        <v>696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207</v>
      </c>
      <c r="I157" s="6" t="s">
        <v>206</v>
      </c>
      <c r="J157" t="s">
        <v>666</v>
      </c>
      <c r="K157" t="s">
        <v>673</v>
      </c>
      <c r="M157" t="s">
        <v>689</v>
      </c>
      <c r="N157" t="s">
        <v>692</v>
      </c>
      <c r="O157" t="s">
        <v>690</v>
      </c>
      <c r="P157" t="s">
        <v>690</v>
      </c>
      <c r="R157" t="s">
        <v>702</v>
      </c>
      <c r="S157" t="s">
        <v>706</v>
      </c>
    </row>
    <row r="158" spans="1:19" x14ac:dyDescent="0.2">
      <c r="A158" t="s">
        <v>624</v>
      </c>
      <c r="B158">
        <v>7</v>
      </c>
      <c r="C158" t="s">
        <v>208</v>
      </c>
      <c r="D158" t="s">
        <v>697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208</v>
      </c>
      <c r="I158" s="4" t="s">
        <v>209</v>
      </c>
      <c r="J158" t="s">
        <v>666</v>
      </c>
      <c r="K158" t="s">
        <v>670</v>
      </c>
      <c r="M158" t="s">
        <v>689</v>
      </c>
      <c r="N158" t="s">
        <v>689</v>
      </c>
      <c r="O158" t="s">
        <v>691</v>
      </c>
      <c r="P158" t="s">
        <v>690</v>
      </c>
      <c r="R158" t="s">
        <v>702</v>
      </c>
      <c r="S158" t="s">
        <v>706</v>
      </c>
    </row>
    <row r="159" spans="1:19" x14ac:dyDescent="0.2">
      <c r="A159" t="s">
        <v>624</v>
      </c>
      <c r="B159">
        <v>8</v>
      </c>
      <c r="C159" t="s">
        <v>210</v>
      </c>
      <c r="D159" t="s">
        <v>696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211</v>
      </c>
      <c r="I159" s="6" t="s">
        <v>210</v>
      </c>
      <c r="J159" t="s">
        <v>666</v>
      </c>
      <c r="K159" t="s">
        <v>673</v>
      </c>
      <c r="M159" t="s">
        <v>690</v>
      </c>
      <c r="N159" t="s">
        <v>692</v>
      </c>
      <c r="O159" t="s">
        <v>690</v>
      </c>
      <c r="P159" t="s">
        <v>690</v>
      </c>
      <c r="R159" t="s">
        <v>702</v>
      </c>
      <c r="S159" t="s">
        <v>706</v>
      </c>
    </row>
    <row r="160" spans="1:19" x14ac:dyDescent="0.2">
      <c r="A160" t="s">
        <v>624</v>
      </c>
      <c r="B160">
        <v>9</v>
      </c>
      <c r="C160" t="s">
        <v>212</v>
      </c>
      <c r="D160" t="s">
        <v>696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213</v>
      </c>
      <c r="I160" s="6" t="s">
        <v>212</v>
      </c>
      <c r="J160" t="s">
        <v>666</v>
      </c>
      <c r="K160" t="s">
        <v>673</v>
      </c>
      <c r="M160" t="s">
        <v>690</v>
      </c>
      <c r="N160" t="s">
        <v>692</v>
      </c>
      <c r="O160" t="s">
        <v>690</v>
      </c>
      <c r="P160" t="s">
        <v>690</v>
      </c>
      <c r="R160" t="s">
        <v>702</v>
      </c>
      <c r="S160" t="s">
        <v>706</v>
      </c>
    </row>
    <row r="161" spans="1:19" x14ac:dyDescent="0.2">
      <c r="A161" t="s">
        <v>625</v>
      </c>
      <c r="B161">
        <v>1</v>
      </c>
      <c r="C161" t="s">
        <v>214</v>
      </c>
      <c r="D161" t="s">
        <v>696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J161" t="s">
        <v>666</v>
      </c>
      <c r="K161" t="s">
        <v>674</v>
      </c>
      <c r="M161" t="s">
        <v>689</v>
      </c>
      <c r="N161" t="s">
        <v>692</v>
      </c>
      <c r="O161" t="s">
        <v>690</v>
      </c>
      <c r="P161" t="s">
        <v>690</v>
      </c>
      <c r="R161" t="s">
        <v>702</v>
      </c>
      <c r="S161" t="s">
        <v>705</v>
      </c>
    </row>
    <row r="162" spans="1:19" x14ac:dyDescent="0.2">
      <c r="A162" t="s">
        <v>625</v>
      </c>
      <c r="B162">
        <v>2</v>
      </c>
      <c r="C162" t="s">
        <v>215</v>
      </c>
      <c r="D162" t="s">
        <v>696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J162" t="s">
        <v>666</v>
      </c>
      <c r="K162" t="s">
        <v>674</v>
      </c>
      <c r="M162" t="s">
        <v>689</v>
      </c>
      <c r="N162" t="s">
        <v>692</v>
      </c>
      <c r="O162" t="s">
        <v>690</v>
      </c>
      <c r="P162" t="s">
        <v>690</v>
      </c>
      <c r="R162" t="s">
        <v>702</v>
      </c>
      <c r="S162" t="s">
        <v>705</v>
      </c>
    </row>
    <row r="163" spans="1:19" x14ac:dyDescent="0.2">
      <c r="A163" t="s">
        <v>625</v>
      </c>
      <c r="B163">
        <v>3</v>
      </c>
      <c r="C163" t="s">
        <v>216</v>
      </c>
      <c r="D163" t="s">
        <v>696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J163" t="s">
        <v>666</v>
      </c>
      <c r="K163" t="s">
        <v>674</v>
      </c>
      <c r="M163" t="s">
        <v>689</v>
      </c>
      <c r="N163" t="s">
        <v>692</v>
      </c>
      <c r="O163" t="s">
        <v>690</v>
      </c>
      <c r="P163" t="s">
        <v>690</v>
      </c>
      <c r="R163" t="s">
        <v>702</v>
      </c>
      <c r="S163" t="s">
        <v>705</v>
      </c>
    </row>
    <row r="164" spans="1:19" x14ac:dyDescent="0.2">
      <c r="A164" t="s">
        <v>625</v>
      </c>
      <c r="B164">
        <v>4</v>
      </c>
      <c r="C164" t="s">
        <v>217</v>
      </c>
      <c r="D164" t="s">
        <v>696</v>
      </c>
      <c r="E164" s="3">
        <v>-31.5</v>
      </c>
      <c r="F164" s="3">
        <f>36.1-62</f>
        <v>-25.9</v>
      </c>
      <c r="G164" s="3">
        <f t="shared" si="2"/>
        <v>-23.1</v>
      </c>
      <c r="J164" t="s">
        <v>666</v>
      </c>
      <c r="K164" t="s">
        <v>673</v>
      </c>
      <c r="M164" t="s">
        <v>690</v>
      </c>
      <c r="N164" t="s">
        <v>692</v>
      </c>
      <c r="O164" t="s">
        <v>690</v>
      </c>
      <c r="P164" t="s">
        <v>690</v>
      </c>
      <c r="R164" t="s">
        <v>702</v>
      </c>
      <c r="S164" t="s">
        <v>705</v>
      </c>
    </row>
    <row r="165" spans="1:19" x14ac:dyDescent="0.2">
      <c r="A165" t="s">
        <v>626</v>
      </c>
      <c r="B165">
        <v>1</v>
      </c>
      <c r="C165" t="s">
        <v>218</v>
      </c>
      <c r="D165" t="s">
        <v>696</v>
      </c>
      <c r="E165" s="3">
        <v>-31.3</v>
      </c>
      <c r="F165" s="3">
        <f>34.1-63.7</f>
        <v>-29.6</v>
      </c>
      <c r="G165" s="3">
        <f t="shared" si="2"/>
        <v>-22.9</v>
      </c>
      <c r="J165" t="s">
        <v>681</v>
      </c>
      <c r="K165" t="s">
        <v>673</v>
      </c>
      <c r="M165" t="s">
        <v>689</v>
      </c>
      <c r="N165" t="s">
        <v>692</v>
      </c>
      <c r="O165" t="s">
        <v>690</v>
      </c>
      <c r="P165" t="s">
        <v>690</v>
      </c>
      <c r="R165" t="s">
        <v>702</v>
      </c>
      <c r="S165" t="s">
        <v>705</v>
      </c>
    </row>
    <row r="166" spans="1:19" x14ac:dyDescent="0.2">
      <c r="A166" t="s">
        <v>626</v>
      </c>
      <c r="B166">
        <v>2</v>
      </c>
      <c r="C166" t="s">
        <v>219</v>
      </c>
      <c r="D166" t="s">
        <v>696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J166" t="s">
        <v>681</v>
      </c>
      <c r="K166" t="s">
        <v>674</v>
      </c>
      <c r="M166" t="s">
        <v>689</v>
      </c>
      <c r="N166" t="s">
        <v>691</v>
      </c>
      <c r="O166" t="s">
        <v>690</v>
      </c>
      <c r="P166" t="s">
        <v>690</v>
      </c>
      <c r="R166" t="s">
        <v>702</v>
      </c>
      <c r="S166" t="s">
        <v>705</v>
      </c>
    </row>
    <row r="167" spans="1:19" x14ac:dyDescent="0.2">
      <c r="A167" t="s">
        <v>626</v>
      </c>
      <c r="B167">
        <v>3</v>
      </c>
      <c r="C167" t="s">
        <v>220</v>
      </c>
      <c r="D167" t="s">
        <v>697</v>
      </c>
      <c r="E167" s="3">
        <v>4.0999999999999996</v>
      </c>
      <c r="F167" s="3">
        <f>51.2-46.7</f>
        <v>4.5</v>
      </c>
      <c r="G167" s="3">
        <f t="shared" si="2"/>
        <v>12.5</v>
      </c>
      <c r="J167" t="s">
        <v>681</v>
      </c>
      <c r="K167" t="s">
        <v>671</v>
      </c>
      <c r="M167" t="s">
        <v>692</v>
      </c>
      <c r="N167" t="s">
        <v>692</v>
      </c>
      <c r="O167" t="s">
        <v>690</v>
      </c>
      <c r="P167" t="s">
        <v>690</v>
      </c>
      <c r="R167" t="s">
        <v>702</v>
      </c>
      <c r="S167" t="s">
        <v>705</v>
      </c>
    </row>
    <row r="168" spans="1:19" x14ac:dyDescent="0.2">
      <c r="A168" t="s">
        <v>626</v>
      </c>
      <c r="B168">
        <v>4</v>
      </c>
      <c r="C168" t="s">
        <v>221</v>
      </c>
      <c r="D168" t="s">
        <v>696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J168" t="s">
        <v>681</v>
      </c>
      <c r="K168" t="s">
        <v>673</v>
      </c>
      <c r="M168" t="s">
        <v>689</v>
      </c>
      <c r="N168" t="s">
        <v>691</v>
      </c>
      <c r="O168" t="s">
        <v>690</v>
      </c>
      <c r="P168" t="s">
        <v>690</v>
      </c>
      <c r="R168" t="s">
        <v>702</v>
      </c>
      <c r="S168" t="s">
        <v>705</v>
      </c>
    </row>
    <row r="169" spans="1:19" x14ac:dyDescent="0.2">
      <c r="A169" t="s">
        <v>627</v>
      </c>
      <c r="B169">
        <v>1</v>
      </c>
      <c r="C169" t="s">
        <v>222</v>
      </c>
      <c r="D169" t="s">
        <v>696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223</v>
      </c>
      <c r="I169" t="s">
        <v>222</v>
      </c>
      <c r="J169" t="s">
        <v>682</v>
      </c>
      <c r="K169" t="s">
        <v>673</v>
      </c>
      <c r="M169" t="s">
        <v>690</v>
      </c>
      <c r="N169" t="s">
        <v>692</v>
      </c>
      <c r="O169" t="s">
        <v>690</v>
      </c>
      <c r="P169" t="s">
        <v>690</v>
      </c>
      <c r="R169" t="s">
        <v>702</v>
      </c>
      <c r="S169" t="s">
        <v>706</v>
      </c>
    </row>
    <row r="170" spans="1:19" x14ac:dyDescent="0.2">
      <c r="A170" t="s">
        <v>627</v>
      </c>
      <c r="B170">
        <v>2</v>
      </c>
      <c r="C170" t="s">
        <v>224</v>
      </c>
      <c r="D170" t="s">
        <v>696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225</v>
      </c>
      <c r="I170" t="s">
        <v>224</v>
      </c>
      <c r="J170" t="s">
        <v>682</v>
      </c>
      <c r="K170" t="s">
        <v>673</v>
      </c>
      <c r="M170" t="s">
        <v>690</v>
      </c>
      <c r="N170" t="s">
        <v>692</v>
      </c>
      <c r="O170" t="s">
        <v>690</v>
      </c>
      <c r="P170" t="s">
        <v>690</v>
      </c>
      <c r="R170" t="s">
        <v>702</v>
      </c>
      <c r="S170" t="s">
        <v>706</v>
      </c>
    </row>
    <row r="171" spans="1:19" x14ac:dyDescent="0.2">
      <c r="A171" t="s">
        <v>627</v>
      </c>
      <c r="B171">
        <v>3</v>
      </c>
      <c r="C171" t="s">
        <v>226</v>
      </c>
      <c r="D171" t="s">
        <v>697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226</v>
      </c>
      <c r="I171" s="4" t="s">
        <v>227</v>
      </c>
      <c r="J171" t="s">
        <v>682</v>
      </c>
      <c r="K171" t="s">
        <v>670</v>
      </c>
      <c r="M171" t="s">
        <v>689</v>
      </c>
      <c r="N171" t="s">
        <v>691</v>
      </c>
      <c r="O171" t="s">
        <v>689</v>
      </c>
      <c r="P171" t="s">
        <v>690</v>
      </c>
      <c r="R171" t="s">
        <v>702</v>
      </c>
      <c r="S171" t="s">
        <v>706</v>
      </c>
    </row>
    <row r="172" spans="1:19" x14ac:dyDescent="0.2">
      <c r="A172" t="s">
        <v>627</v>
      </c>
      <c r="B172">
        <v>4</v>
      </c>
      <c r="C172" t="s">
        <v>228</v>
      </c>
      <c r="D172" t="s">
        <v>696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229</v>
      </c>
      <c r="I172" s="4" t="s">
        <v>230</v>
      </c>
      <c r="J172" t="s">
        <v>682</v>
      </c>
      <c r="K172" t="s">
        <v>673</v>
      </c>
      <c r="M172" t="s">
        <v>689</v>
      </c>
      <c r="N172" t="s">
        <v>692</v>
      </c>
      <c r="O172" t="s">
        <v>690</v>
      </c>
      <c r="P172" t="s">
        <v>690</v>
      </c>
      <c r="R172" t="s">
        <v>702</v>
      </c>
      <c r="S172" t="s">
        <v>706</v>
      </c>
    </row>
    <row r="173" spans="1:19" x14ac:dyDescent="0.2">
      <c r="A173" t="s">
        <v>627</v>
      </c>
      <c r="B173">
        <v>5</v>
      </c>
      <c r="C173" t="s">
        <v>231</v>
      </c>
      <c r="D173" t="s">
        <v>696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232</v>
      </c>
      <c r="I173" t="s">
        <v>231</v>
      </c>
      <c r="J173" t="s">
        <v>682</v>
      </c>
      <c r="K173" t="s">
        <v>673</v>
      </c>
      <c r="M173" t="s">
        <v>690</v>
      </c>
      <c r="N173" t="s">
        <v>692</v>
      </c>
      <c r="O173" t="s">
        <v>690</v>
      </c>
      <c r="P173" t="s">
        <v>690</v>
      </c>
      <c r="R173" t="s">
        <v>702</v>
      </c>
      <c r="S173" t="s">
        <v>706</v>
      </c>
    </row>
    <row r="174" spans="1:19" x14ac:dyDescent="0.2">
      <c r="A174" t="s">
        <v>627</v>
      </c>
      <c r="B174">
        <v>6</v>
      </c>
      <c r="C174" t="s">
        <v>233</v>
      </c>
      <c r="D174" t="s">
        <v>696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234</v>
      </c>
      <c r="I174" s="4" t="s">
        <v>235</v>
      </c>
      <c r="J174" t="s">
        <v>682</v>
      </c>
      <c r="K174" t="s">
        <v>673</v>
      </c>
      <c r="M174" t="s">
        <v>689</v>
      </c>
      <c r="N174" t="s">
        <v>692</v>
      </c>
      <c r="O174" t="s">
        <v>690</v>
      </c>
      <c r="P174" t="s">
        <v>690</v>
      </c>
      <c r="R174" t="s">
        <v>702</v>
      </c>
      <c r="S174" t="s">
        <v>706</v>
      </c>
    </row>
    <row r="175" spans="1:19" x14ac:dyDescent="0.2">
      <c r="A175" t="s">
        <v>628</v>
      </c>
      <c r="B175">
        <v>1</v>
      </c>
      <c r="C175" t="s">
        <v>236</v>
      </c>
      <c r="D175" t="s">
        <v>696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J175" t="s">
        <v>676</v>
      </c>
      <c r="K175" t="s">
        <v>672</v>
      </c>
      <c r="R175" t="s">
        <v>702</v>
      </c>
      <c r="S175" t="s">
        <v>705</v>
      </c>
    </row>
    <row r="176" spans="1:19" x14ac:dyDescent="0.2">
      <c r="A176" t="s">
        <v>628</v>
      </c>
      <c r="B176">
        <v>2</v>
      </c>
      <c r="C176" t="s">
        <v>237</v>
      </c>
      <c r="D176" t="s">
        <v>697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J176" t="s">
        <v>676</v>
      </c>
      <c r="K176" t="s">
        <v>670</v>
      </c>
      <c r="R176" t="s">
        <v>702</v>
      </c>
      <c r="S176" t="s">
        <v>705</v>
      </c>
    </row>
    <row r="177" spans="1:19" x14ac:dyDescent="0.2">
      <c r="A177" t="s">
        <v>628</v>
      </c>
      <c r="B177">
        <v>3</v>
      </c>
      <c r="C177" t="s">
        <v>238</v>
      </c>
      <c r="D177" t="s">
        <v>696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J177" t="s">
        <v>676</v>
      </c>
      <c r="K177" t="s">
        <v>673</v>
      </c>
      <c r="R177" t="s">
        <v>702</v>
      </c>
      <c r="S177" t="s">
        <v>705</v>
      </c>
    </row>
    <row r="178" spans="1:19" x14ac:dyDescent="0.2">
      <c r="A178" t="s">
        <v>628</v>
      </c>
      <c r="B178">
        <v>4</v>
      </c>
      <c r="C178" t="s">
        <v>239</v>
      </c>
      <c r="D178" t="s">
        <v>696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J178" t="s">
        <v>676</v>
      </c>
      <c r="K178" t="s">
        <v>673</v>
      </c>
      <c r="R178" t="s">
        <v>702</v>
      </c>
      <c r="S178" t="s">
        <v>705</v>
      </c>
    </row>
    <row r="179" spans="1:19" x14ac:dyDescent="0.2">
      <c r="A179" t="s">
        <v>628</v>
      </c>
      <c r="B179">
        <v>5</v>
      </c>
      <c r="C179" t="s">
        <v>240</v>
      </c>
      <c r="D179" t="s">
        <v>696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J179" t="s">
        <v>676</v>
      </c>
      <c r="K179" t="s">
        <v>673</v>
      </c>
      <c r="R179" t="s">
        <v>702</v>
      </c>
      <c r="S179" t="s">
        <v>705</v>
      </c>
    </row>
    <row r="180" spans="1:19" x14ac:dyDescent="0.2">
      <c r="A180" t="s">
        <v>628</v>
      </c>
      <c r="B180">
        <v>6</v>
      </c>
      <c r="C180" t="s">
        <v>241</v>
      </c>
      <c r="D180" t="s">
        <v>697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J180" t="s">
        <v>676</v>
      </c>
      <c r="K180" t="s">
        <v>673</v>
      </c>
      <c r="R180" t="s">
        <v>702</v>
      </c>
      <c r="S180" t="s">
        <v>705</v>
      </c>
    </row>
    <row r="181" spans="1:19" x14ac:dyDescent="0.2">
      <c r="A181" t="s">
        <v>629</v>
      </c>
      <c r="B181">
        <v>1</v>
      </c>
      <c r="C181" t="s">
        <v>242</v>
      </c>
      <c r="D181" t="s">
        <v>697</v>
      </c>
      <c r="E181" s="3">
        <v>21.8</v>
      </c>
      <c r="F181" s="3">
        <f>60-37.2</f>
        <v>22.799999999999997</v>
      </c>
      <c r="G181" s="3">
        <f t="shared" si="2"/>
        <v>30.200000000000003</v>
      </c>
      <c r="J181" t="s">
        <v>665</v>
      </c>
      <c r="K181" t="s">
        <v>670</v>
      </c>
      <c r="M181" t="s">
        <v>691</v>
      </c>
      <c r="N181" t="s">
        <v>692</v>
      </c>
      <c r="O181" t="s">
        <v>690</v>
      </c>
      <c r="P181" t="s">
        <v>690</v>
      </c>
      <c r="R181" t="s">
        <v>702</v>
      </c>
      <c r="S181" t="s">
        <v>705</v>
      </c>
    </row>
    <row r="182" spans="1:19" x14ac:dyDescent="0.2">
      <c r="A182" t="s">
        <v>629</v>
      </c>
      <c r="B182">
        <v>2</v>
      </c>
      <c r="C182" t="s">
        <v>243</v>
      </c>
      <c r="D182" t="s">
        <v>697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J182" t="s">
        <v>665</v>
      </c>
      <c r="K182" t="s">
        <v>673</v>
      </c>
      <c r="M182" t="s">
        <v>689</v>
      </c>
      <c r="N182" t="s">
        <v>692</v>
      </c>
      <c r="O182" t="s">
        <v>690</v>
      </c>
      <c r="P182" t="s">
        <v>690</v>
      </c>
      <c r="R182" t="s">
        <v>702</v>
      </c>
      <c r="S182" t="s">
        <v>705</v>
      </c>
    </row>
    <row r="183" spans="1:19" x14ac:dyDescent="0.2">
      <c r="A183" t="s">
        <v>630</v>
      </c>
      <c r="B183">
        <v>1</v>
      </c>
      <c r="C183" t="s">
        <v>244</v>
      </c>
      <c r="D183" t="s">
        <v>696</v>
      </c>
      <c r="E183" s="3">
        <v>-16.8</v>
      </c>
      <c r="F183" s="3">
        <f>41.5-55.9</f>
        <v>-14.399999999999999</v>
      </c>
      <c r="G183" s="3">
        <f t="shared" si="2"/>
        <v>-8.4</v>
      </c>
      <c r="J183" t="s">
        <v>678</v>
      </c>
      <c r="K183" t="s">
        <v>673</v>
      </c>
      <c r="M183" t="s">
        <v>689</v>
      </c>
      <c r="N183" t="s">
        <v>691</v>
      </c>
      <c r="O183" t="s">
        <v>689</v>
      </c>
      <c r="P183" t="s">
        <v>690</v>
      </c>
      <c r="R183" t="s">
        <v>702</v>
      </c>
      <c r="S183" t="s">
        <v>705</v>
      </c>
    </row>
    <row r="184" spans="1:19" x14ac:dyDescent="0.2">
      <c r="A184" t="s">
        <v>630</v>
      </c>
      <c r="B184">
        <v>2</v>
      </c>
      <c r="C184" t="s">
        <v>245</v>
      </c>
      <c r="D184" t="s">
        <v>697</v>
      </c>
      <c r="E184" s="3">
        <v>18.3</v>
      </c>
      <c r="F184" s="3">
        <f>58.9-38.3</f>
        <v>20.6</v>
      </c>
      <c r="G184" s="3">
        <f t="shared" si="2"/>
        <v>26.700000000000003</v>
      </c>
      <c r="J184" t="s">
        <v>678</v>
      </c>
      <c r="K184" t="s">
        <v>674</v>
      </c>
      <c r="M184" t="s">
        <v>691</v>
      </c>
      <c r="N184" t="s">
        <v>691</v>
      </c>
      <c r="O184" t="s">
        <v>689</v>
      </c>
      <c r="P184" t="s">
        <v>690</v>
      </c>
      <c r="R184" t="s">
        <v>702</v>
      </c>
      <c r="S184" t="s">
        <v>705</v>
      </c>
    </row>
    <row r="185" spans="1:19" x14ac:dyDescent="0.2">
      <c r="A185" t="s">
        <v>630</v>
      </c>
      <c r="B185">
        <v>3</v>
      </c>
      <c r="C185" t="s">
        <v>246</v>
      </c>
      <c r="D185" t="s">
        <v>697</v>
      </c>
      <c r="E185" s="3">
        <v>23.5</v>
      </c>
      <c r="F185" s="3">
        <f>61.2-35.9</f>
        <v>25.300000000000004</v>
      </c>
      <c r="G185" s="3">
        <f t="shared" si="2"/>
        <v>31.9</v>
      </c>
      <c r="J185" t="s">
        <v>678</v>
      </c>
      <c r="K185" t="s">
        <v>674</v>
      </c>
      <c r="M185" t="s">
        <v>692</v>
      </c>
      <c r="N185" t="s">
        <v>689</v>
      </c>
      <c r="O185" t="s">
        <v>689</v>
      </c>
      <c r="P185" t="s">
        <v>690</v>
      </c>
      <c r="R185" t="s">
        <v>702</v>
      </c>
      <c r="S185" t="s">
        <v>705</v>
      </c>
    </row>
    <row r="186" spans="1:19" x14ac:dyDescent="0.2">
      <c r="A186" t="s">
        <v>630</v>
      </c>
      <c r="B186">
        <v>4</v>
      </c>
      <c r="C186" t="s">
        <v>247</v>
      </c>
      <c r="D186" t="s">
        <v>697</v>
      </c>
      <c r="E186" s="3">
        <v>73.2</v>
      </c>
      <c r="F186" s="3">
        <f>89.2-8.6</f>
        <v>80.600000000000009</v>
      </c>
      <c r="G186" s="3">
        <f t="shared" si="2"/>
        <v>81.600000000000009</v>
      </c>
      <c r="J186" t="s">
        <v>678</v>
      </c>
      <c r="K186" t="s">
        <v>670</v>
      </c>
      <c r="M186" t="s">
        <v>689</v>
      </c>
      <c r="N186" t="s">
        <v>690</v>
      </c>
      <c r="O186" t="s">
        <v>692</v>
      </c>
      <c r="P186" t="s">
        <v>689</v>
      </c>
      <c r="R186" t="s">
        <v>702</v>
      </c>
      <c r="S186" t="s">
        <v>705</v>
      </c>
    </row>
    <row r="187" spans="1:19" x14ac:dyDescent="0.2">
      <c r="A187" t="s">
        <v>630</v>
      </c>
      <c r="B187">
        <v>5</v>
      </c>
      <c r="C187" t="s">
        <v>248</v>
      </c>
      <c r="D187" t="s">
        <v>697</v>
      </c>
      <c r="E187" s="3">
        <v>33.1</v>
      </c>
      <c r="F187" s="3">
        <f>67-30.7</f>
        <v>36.299999999999997</v>
      </c>
      <c r="G187" s="3">
        <f t="shared" si="2"/>
        <v>41.5</v>
      </c>
      <c r="J187" t="s">
        <v>678</v>
      </c>
      <c r="K187" t="s">
        <v>674</v>
      </c>
      <c r="M187" t="s">
        <v>691</v>
      </c>
      <c r="N187" t="s">
        <v>689</v>
      </c>
      <c r="O187" t="s">
        <v>691</v>
      </c>
      <c r="P187" t="s">
        <v>690</v>
      </c>
      <c r="R187" t="s">
        <v>702</v>
      </c>
      <c r="S187" t="s">
        <v>705</v>
      </c>
    </row>
    <row r="188" spans="1:19" x14ac:dyDescent="0.2">
      <c r="A188" t="s">
        <v>630</v>
      </c>
      <c r="B188">
        <v>6</v>
      </c>
      <c r="C188" t="s">
        <v>249</v>
      </c>
      <c r="D188" t="s">
        <v>697</v>
      </c>
      <c r="E188" s="3">
        <v>5.7</v>
      </c>
      <c r="F188" s="3">
        <f>53.6-43.8</f>
        <v>9.8000000000000043</v>
      </c>
      <c r="G188" s="3">
        <f t="shared" si="2"/>
        <v>14.100000000000001</v>
      </c>
      <c r="J188" t="s">
        <v>678</v>
      </c>
      <c r="K188" t="s">
        <v>674</v>
      </c>
      <c r="M188" t="s">
        <v>691</v>
      </c>
      <c r="N188" t="s">
        <v>691</v>
      </c>
      <c r="O188" t="s">
        <v>689</v>
      </c>
      <c r="P188" t="s">
        <v>690</v>
      </c>
      <c r="R188" t="s">
        <v>702</v>
      </c>
      <c r="S188" t="s">
        <v>705</v>
      </c>
    </row>
    <row r="189" spans="1:19" x14ac:dyDescent="0.2">
      <c r="A189" t="s">
        <v>630</v>
      </c>
      <c r="B189">
        <v>7</v>
      </c>
      <c r="C189" t="s">
        <v>250</v>
      </c>
      <c r="D189" t="s">
        <v>697</v>
      </c>
      <c r="E189" s="3">
        <v>58.6</v>
      </c>
      <c r="F189" s="3">
        <f>80.5-17.4</f>
        <v>63.1</v>
      </c>
      <c r="G189" s="3">
        <f t="shared" si="2"/>
        <v>67</v>
      </c>
      <c r="J189" t="s">
        <v>678</v>
      </c>
      <c r="K189" t="s">
        <v>670</v>
      </c>
      <c r="M189" t="s">
        <v>689</v>
      </c>
      <c r="N189" t="s">
        <v>690</v>
      </c>
      <c r="O189" t="s">
        <v>692</v>
      </c>
      <c r="P189" t="s">
        <v>690</v>
      </c>
      <c r="R189" t="s">
        <v>702</v>
      </c>
      <c r="S189" t="s">
        <v>705</v>
      </c>
    </row>
    <row r="190" spans="1:19" x14ac:dyDescent="0.2">
      <c r="A190" t="s">
        <v>630</v>
      </c>
      <c r="B190">
        <v>8</v>
      </c>
      <c r="C190" t="s">
        <v>251</v>
      </c>
      <c r="D190" t="s">
        <v>697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J190" t="s">
        <v>678</v>
      </c>
      <c r="K190" t="s">
        <v>671</v>
      </c>
      <c r="M190" t="s">
        <v>692</v>
      </c>
      <c r="N190" t="s">
        <v>689</v>
      </c>
      <c r="O190" t="s">
        <v>689</v>
      </c>
      <c r="P190" t="s">
        <v>689</v>
      </c>
      <c r="R190" t="s">
        <v>702</v>
      </c>
      <c r="S190" t="s">
        <v>705</v>
      </c>
    </row>
    <row r="191" spans="1:19" x14ac:dyDescent="0.2">
      <c r="A191" t="s">
        <v>631</v>
      </c>
      <c r="B191">
        <v>1</v>
      </c>
      <c r="C191" t="s">
        <v>252</v>
      </c>
      <c r="D191" t="s">
        <v>697</v>
      </c>
      <c r="E191" s="3">
        <v>13.8</v>
      </c>
      <c r="F191" s="3">
        <f>59.6-38</f>
        <v>21.6</v>
      </c>
      <c r="G191" s="3">
        <f t="shared" si="2"/>
        <v>22.200000000000003</v>
      </c>
      <c r="J191" t="s">
        <v>665</v>
      </c>
      <c r="K191" t="s">
        <v>674</v>
      </c>
      <c r="M191" t="s">
        <v>689</v>
      </c>
      <c r="N191" t="s">
        <v>691</v>
      </c>
      <c r="O191" t="s">
        <v>690</v>
      </c>
      <c r="P191" t="s">
        <v>689</v>
      </c>
      <c r="R191" t="s">
        <v>702</v>
      </c>
      <c r="S191" t="s">
        <v>705</v>
      </c>
    </row>
    <row r="192" spans="1:19" x14ac:dyDescent="0.2">
      <c r="A192" t="s">
        <v>631</v>
      </c>
      <c r="B192">
        <v>2</v>
      </c>
      <c r="C192" t="s">
        <v>694</v>
      </c>
      <c r="D192" t="s">
        <v>697</v>
      </c>
      <c r="E192" s="3">
        <v>23.6</v>
      </c>
      <c r="F192" s="3">
        <f>64-33.3</f>
        <v>30.700000000000003</v>
      </c>
      <c r="G192" s="3">
        <f t="shared" si="2"/>
        <v>32</v>
      </c>
      <c r="J192" t="s">
        <v>665</v>
      </c>
      <c r="K192" t="s">
        <v>674</v>
      </c>
      <c r="M192" t="s">
        <v>691</v>
      </c>
      <c r="N192" t="s">
        <v>691</v>
      </c>
      <c r="O192" t="s">
        <v>690</v>
      </c>
      <c r="P192" t="s">
        <v>690</v>
      </c>
      <c r="R192" t="s">
        <v>702</v>
      </c>
      <c r="S192" t="s">
        <v>705</v>
      </c>
    </row>
    <row r="193" spans="1:19" x14ac:dyDescent="0.2">
      <c r="A193" t="s">
        <v>631</v>
      </c>
      <c r="B193">
        <v>3</v>
      </c>
      <c r="C193" t="s">
        <v>253</v>
      </c>
      <c r="D193" t="s">
        <v>697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J193" t="s">
        <v>665</v>
      </c>
      <c r="K193" t="s">
        <v>674</v>
      </c>
      <c r="M193" t="s">
        <v>691</v>
      </c>
      <c r="N193" t="s">
        <v>691</v>
      </c>
      <c r="O193" t="s">
        <v>690</v>
      </c>
      <c r="P193" t="s">
        <v>689</v>
      </c>
      <c r="R193" t="s">
        <v>702</v>
      </c>
      <c r="S193" t="s">
        <v>705</v>
      </c>
    </row>
    <row r="194" spans="1:19" x14ac:dyDescent="0.2">
      <c r="A194" t="s">
        <v>631</v>
      </c>
      <c r="B194">
        <v>4</v>
      </c>
      <c r="C194" t="s">
        <v>254</v>
      </c>
      <c r="D194" t="s">
        <v>697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J194" t="s">
        <v>665</v>
      </c>
      <c r="K194" t="s">
        <v>674</v>
      </c>
      <c r="M194" t="s">
        <v>691</v>
      </c>
      <c r="N194" t="s">
        <v>692</v>
      </c>
      <c r="O194" t="s">
        <v>690</v>
      </c>
      <c r="P194" t="s">
        <v>690</v>
      </c>
      <c r="R194" t="s">
        <v>702</v>
      </c>
      <c r="S194" t="s">
        <v>705</v>
      </c>
    </row>
    <row r="195" spans="1:19" x14ac:dyDescent="0.2">
      <c r="A195" t="s">
        <v>631</v>
      </c>
      <c r="B195">
        <v>5</v>
      </c>
      <c r="C195" t="s">
        <v>255</v>
      </c>
      <c r="D195" t="s">
        <v>697</v>
      </c>
      <c r="E195" s="3">
        <v>44.9</v>
      </c>
      <c r="F195" s="3">
        <f>74.4-23.5</f>
        <v>50.900000000000006</v>
      </c>
      <c r="G195" s="3">
        <f t="shared" si="3"/>
        <v>53.3</v>
      </c>
      <c r="J195" t="s">
        <v>665</v>
      </c>
      <c r="K195" t="s">
        <v>674</v>
      </c>
      <c r="M195" t="s">
        <v>692</v>
      </c>
      <c r="N195" t="s">
        <v>691</v>
      </c>
      <c r="O195" t="s">
        <v>690</v>
      </c>
      <c r="P195" t="s">
        <v>690</v>
      </c>
      <c r="R195" t="s">
        <v>702</v>
      </c>
      <c r="S195" t="s">
        <v>705</v>
      </c>
    </row>
    <row r="196" spans="1:19" x14ac:dyDescent="0.2">
      <c r="A196" t="s">
        <v>631</v>
      </c>
      <c r="B196">
        <v>6</v>
      </c>
      <c r="C196" t="s">
        <v>256</v>
      </c>
      <c r="D196" t="s">
        <v>697</v>
      </c>
      <c r="E196" s="3">
        <v>20.6</v>
      </c>
      <c r="F196" s="3">
        <f>62.6-35.2</f>
        <v>27.4</v>
      </c>
      <c r="G196" s="3">
        <f t="shared" si="3"/>
        <v>29</v>
      </c>
      <c r="J196" t="s">
        <v>665</v>
      </c>
      <c r="K196" t="s">
        <v>671</v>
      </c>
      <c r="M196" t="s">
        <v>692</v>
      </c>
      <c r="N196" t="s">
        <v>692</v>
      </c>
      <c r="O196" t="s">
        <v>690</v>
      </c>
      <c r="P196" t="s">
        <v>690</v>
      </c>
      <c r="R196" t="s">
        <v>702</v>
      </c>
      <c r="S196" t="s">
        <v>705</v>
      </c>
    </row>
    <row r="197" spans="1:19" x14ac:dyDescent="0.2">
      <c r="A197" t="s">
        <v>631</v>
      </c>
      <c r="B197">
        <v>7</v>
      </c>
      <c r="C197" t="s">
        <v>257</v>
      </c>
      <c r="D197" t="s">
        <v>697</v>
      </c>
      <c r="E197" s="3">
        <v>62.7</v>
      </c>
      <c r="F197" s="3">
        <f>85.2-13</f>
        <v>72.2</v>
      </c>
      <c r="G197" s="3">
        <f t="shared" si="3"/>
        <v>71.100000000000009</v>
      </c>
      <c r="J197" t="s">
        <v>665</v>
      </c>
      <c r="K197" t="s">
        <v>670</v>
      </c>
      <c r="M197" t="s">
        <v>691</v>
      </c>
      <c r="N197" t="s">
        <v>690</v>
      </c>
      <c r="O197" t="s">
        <v>689</v>
      </c>
      <c r="P197" t="s">
        <v>689</v>
      </c>
      <c r="R197" t="s">
        <v>702</v>
      </c>
      <c r="S197" t="s">
        <v>705</v>
      </c>
    </row>
    <row r="198" spans="1:19" x14ac:dyDescent="0.2">
      <c r="A198" t="s">
        <v>631</v>
      </c>
      <c r="B198">
        <v>8</v>
      </c>
      <c r="C198" t="s">
        <v>258</v>
      </c>
      <c r="D198" t="s">
        <v>697</v>
      </c>
      <c r="E198" s="3">
        <v>26.2</v>
      </c>
      <c r="F198" s="3">
        <f>66.6-31.3</f>
        <v>35.299999999999997</v>
      </c>
      <c r="G198" s="3">
        <f t="shared" si="3"/>
        <v>34.6</v>
      </c>
      <c r="J198" t="s">
        <v>665</v>
      </c>
      <c r="K198" t="s">
        <v>671</v>
      </c>
      <c r="M198" t="s">
        <v>692</v>
      </c>
      <c r="N198" t="s">
        <v>691</v>
      </c>
      <c r="O198" t="s">
        <v>689</v>
      </c>
      <c r="P198" t="s">
        <v>690</v>
      </c>
      <c r="R198" t="s">
        <v>702</v>
      </c>
      <c r="S198" t="s">
        <v>705</v>
      </c>
    </row>
    <row r="199" spans="1:19" x14ac:dyDescent="0.2">
      <c r="A199" t="s">
        <v>631</v>
      </c>
      <c r="B199">
        <v>9</v>
      </c>
      <c r="C199" t="s">
        <v>259</v>
      </c>
      <c r="D199" t="s">
        <v>697</v>
      </c>
      <c r="E199" s="3">
        <v>10.7</v>
      </c>
      <c r="F199" s="3">
        <f>58-39.9</f>
        <v>18.100000000000001</v>
      </c>
      <c r="G199" s="3">
        <f t="shared" si="3"/>
        <v>19.100000000000001</v>
      </c>
      <c r="J199" t="s">
        <v>665</v>
      </c>
      <c r="K199" t="s">
        <v>671</v>
      </c>
      <c r="M199" t="s">
        <v>691</v>
      </c>
      <c r="N199" t="s">
        <v>692</v>
      </c>
      <c r="O199" t="s">
        <v>690</v>
      </c>
      <c r="P199" t="s">
        <v>690</v>
      </c>
      <c r="R199" t="s">
        <v>702</v>
      </c>
      <c r="S199" t="s">
        <v>705</v>
      </c>
    </row>
    <row r="200" spans="1:19" x14ac:dyDescent="0.2">
      <c r="A200" t="s">
        <v>632</v>
      </c>
      <c r="B200">
        <v>1</v>
      </c>
      <c r="C200" t="s">
        <v>260</v>
      </c>
      <c r="D200" t="s">
        <v>696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J200" t="s">
        <v>666</v>
      </c>
      <c r="K200" t="s">
        <v>673</v>
      </c>
      <c r="M200" t="s">
        <v>689</v>
      </c>
      <c r="N200" t="s">
        <v>692</v>
      </c>
      <c r="O200" t="s">
        <v>690</v>
      </c>
      <c r="P200" t="s">
        <v>690</v>
      </c>
      <c r="R200" t="s">
        <v>702</v>
      </c>
      <c r="S200" t="s">
        <v>705</v>
      </c>
    </row>
    <row r="201" spans="1:19" x14ac:dyDescent="0.2">
      <c r="A201" t="s">
        <v>632</v>
      </c>
      <c r="B201">
        <v>2</v>
      </c>
      <c r="C201" t="s">
        <v>261</v>
      </c>
      <c r="D201" t="s">
        <v>696</v>
      </c>
      <c r="E201" s="3">
        <v>-29.9</v>
      </c>
      <c r="F201" s="3">
        <f>35-63.2</f>
        <v>-28.200000000000003</v>
      </c>
      <c r="G201" s="3">
        <f t="shared" si="3"/>
        <v>-21.5</v>
      </c>
      <c r="J201" t="s">
        <v>666</v>
      </c>
      <c r="K201" t="s">
        <v>673</v>
      </c>
      <c r="M201" t="s">
        <v>690</v>
      </c>
      <c r="N201" t="s">
        <v>692</v>
      </c>
      <c r="O201" t="s">
        <v>690</v>
      </c>
      <c r="P201" t="s">
        <v>690</v>
      </c>
      <c r="R201" t="s">
        <v>702</v>
      </c>
      <c r="S201" t="s">
        <v>705</v>
      </c>
    </row>
    <row r="202" spans="1:19" x14ac:dyDescent="0.2">
      <c r="A202" t="s">
        <v>632</v>
      </c>
      <c r="B202">
        <v>3</v>
      </c>
      <c r="C202" t="s">
        <v>262</v>
      </c>
      <c r="D202" t="s">
        <v>697</v>
      </c>
      <c r="E202" s="3">
        <v>7.8</v>
      </c>
      <c r="F202" s="3">
        <f>53.3-44.8</f>
        <v>8.5</v>
      </c>
      <c r="G202" s="3">
        <f t="shared" si="3"/>
        <v>16.2</v>
      </c>
      <c r="J202" t="s">
        <v>666</v>
      </c>
      <c r="K202" t="s">
        <v>671</v>
      </c>
      <c r="M202" t="s">
        <v>691</v>
      </c>
      <c r="N202" t="s">
        <v>691</v>
      </c>
      <c r="O202" t="s">
        <v>689</v>
      </c>
      <c r="P202" t="s">
        <v>690</v>
      </c>
      <c r="R202" t="s">
        <v>702</v>
      </c>
      <c r="S202" t="s">
        <v>705</v>
      </c>
    </row>
    <row r="203" spans="1:19" x14ac:dyDescent="0.2">
      <c r="A203" t="s">
        <v>632</v>
      </c>
      <c r="B203">
        <v>4</v>
      </c>
      <c r="C203" t="s">
        <v>263</v>
      </c>
      <c r="D203" t="s">
        <v>696</v>
      </c>
      <c r="E203" s="3">
        <v>-5.7</v>
      </c>
      <c r="F203" s="3">
        <f>47.1-51.1</f>
        <v>-4</v>
      </c>
      <c r="G203" s="3">
        <f t="shared" si="3"/>
        <v>2.7</v>
      </c>
      <c r="J203" t="s">
        <v>666</v>
      </c>
      <c r="K203" t="s">
        <v>674</v>
      </c>
      <c r="M203" t="s">
        <v>689</v>
      </c>
      <c r="N203" t="s">
        <v>692</v>
      </c>
      <c r="O203" t="s">
        <v>690</v>
      </c>
      <c r="P203" t="s">
        <v>690</v>
      </c>
      <c r="R203" t="s">
        <v>702</v>
      </c>
      <c r="S203" t="s">
        <v>705</v>
      </c>
    </row>
    <row r="204" spans="1:19" x14ac:dyDescent="0.2">
      <c r="A204" t="s">
        <v>632</v>
      </c>
      <c r="B204">
        <v>5</v>
      </c>
      <c r="C204" t="s">
        <v>264</v>
      </c>
      <c r="D204" t="s">
        <v>696</v>
      </c>
      <c r="E204" s="3">
        <v>-27.1</v>
      </c>
      <c r="F204" s="3">
        <f>37.1-61.2</f>
        <v>-24.1</v>
      </c>
      <c r="G204" s="3">
        <f t="shared" si="3"/>
        <v>-18.700000000000003</v>
      </c>
      <c r="J204" t="s">
        <v>666</v>
      </c>
      <c r="K204" t="s">
        <v>674</v>
      </c>
      <c r="M204" t="s">
        <v>690</v>
      </c>
      <c r="N204" t="s">
        <v>692</v>
      </c>
      <c r="O204" t="s">
        <v>690</v>
      </c>
      <c r="P204" t="s">
        <v>690</v>
      </c>
      <c r="R204" t="s">
        <v>702</v>
      </c>
      <c r="S204" t="s">
        <v>705</v>
      </c>
    </row>
    <row r="205" spans="1:19" x14ac:dyDescent="0.2">
      <c r="A205" t="s">
        <v>632</v>
      </c>
      <c r="B205">
        <v>6</v>
      </c>
      <c r="C205" t="s">
        <v>265</v>
      </c>
      <c r="D205" t="s">
        <v>697</v>
      </c>
      <c r="E205" s="3">
        <v>23.2</v>
      </c>
      <c r="F205" s="3">
        <f>62.7-36</f>
        <v>26.700000000000003</v>
      </c>
      <c r="G205" s="3">
        <f t="shared" si="3"/>
        <v>31.6</v>
      </c>
      <c r="J205" t="s">
        <v>666</v>
      </c>
      <c r="K205" t="s">
        <v>674</v>
      </c>
      <c r="M205" t="s">
        <v>692</v>
      </c>
      <c r="N205" t="s">
        <v>691</v>
      </c>
      <c r="O205" t="s">
        <v>689</v>
      </c>
      <c r="P205" t="s">
        <v>690</v>
      </c>
      <c r="R205" t="s">
        <v>702</v>
      </c>
      <c r="S205" t="s">
        <v>705</v>
      </c>
    </row>
    <row r="206" spans="1:19" x14ac:dyDescent="0.2">
      <c r="A206" t="s">
        <v>632</v>
      </c>
      <c r="B206">
        <v>7</v>
      </c>
      <c r="C206" t="s">
        <v>266</v>
      </c>
      <c r="D206" t="s">
        <v>696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J206" t="s">
        <v>666</v>
      </c>
      <c r="K206" t="s">
        <v>671</v>
      </c>
      <c r="M206" t="s">
        <v>691</v>
      </c>
      <c r="N206" t="s">
        <v>692</v>
      </c>
      <c r="O206" t="s">
        <v>690</v>
      </c>
      <c r="P206" t="s">
        <v>690</v>
      </c>
      <c r="R206" t="s">
        <v>702</v>
      </c>
      <c r="S206" t="s">
        <v>705</v>
      </c>
    </row>
    <row r="207" spans="1:19" x14ac:dyDescent="0.2">
      <c r="A207" t="s">
        <v>632</v>
      </c>
      <c r="B207">
        <v>8</v>
      </c>
      <c r="C207" t="s">
        <v>267</v>
      </c>
      <c r="D207" t="s">
        <v>697</v>
      </c>
      <c r="E207" s="3">
        <v>-2</v>
      </c>
      <c r="F207" s="3">
        <f>50.3-48.2</f>
        <v>2.0999999999999943</v>
      </c>
      <c r="G207" s="3">
        <f t="shared" si="3"/>
        <v>6.4</v>
      </c>
      <c r="J207" t="s">
        <v>666</v>
      </c>
      <c r="K207" t="s">
        <v>671</v>
      </c>
      <c r="M207" t="s">
        <v>690</v>
      </c>
      <c r="N207" t="s">
        <v>692</v>
      </c>
      <c r="O207" t="s">
        <v>689</v>
      </c>
      <c r="P207" t="s">
        <v>690</v>
      </c>
      <c r="R207" t="s">
        <v>702</v>
      </c>
      <c r="S207" t="s">
        <v>705</v>
      </c>
    </row>
    <row r="208" spans="1:19" x14ac:dyDescent="0.2">
      <c r="A208" t="s">
        <v>632</v>
      </c>
      <c r="B208">
        <v>9</v>
      </c>
      <c r="C208" t="s">
        <v>268</v>
      </c>
      <c r="D208" t="s">
        <v>696</v>
      </c>
      <c r="E208" s="3">
        <v>-32.299999999999997</v>
      </c>
      <c r="F208" s="3">
        <f>34.6-64</f>
        <v>-29.4</v>
      </c>
      <c r="G208" s="3">
        <f t="shared" si="3"/>
        <v>-23.9</v>
      </c>
      <c r="J208" t="s">
        <v>666</v>
      </c>
      <c r="K208" t="s">
        <v>673</v>
      </c>
      <c r="M208" t="s">
        <v>689</v>
      </c>
      <c r="N208" t="s">
        <v>692</v>
      </c>
      <c r="O208" t="s">
        <v>690</v>
      </c>
      <c r="P208" t="s">
        <v>690</v>
      </c>
      <c r="R208" t="s">
        <v>702</v>
      </c>
      <c r="S208" t="s">
        <v>705</v>
      </c>
    </row>
    <row r="209" spans="1:19" x14ac:dyDescent="0.2">
      <c r="A209" t="s">
        <v>632</v>
      </c>
      <c r="B209">
        <v>10</v>
      </c>
      <c r="C209" t="s">
        <v>269</v>
      </c>
      <c r="D209" t="s">
        <v>696</v>
      </c>
      <c r="E209" s="3">
        <v>-6.5</v>
      </c>
      <c r="F209" s="3">
        <f>48.8-49.8</f>
        <v>-1</v>
      </c>
      <c r="G209" s="3">
        <f t="shared" si="3"/>
        <v>1.9000000000000004</v>
      </c>
      <c r="J209" t="s">
        <v>666</v>
      </c>
      <c r="K209" t="s">
        <v>674</v>
      </c>
      <c r="M209" t="s">
        <v>689</v>
      </c>
      <c r="N209" t="s">
        <v>691</v>
      </c>
      <c r="O209" t="s">
        <v>689</v>
      </c>
      <c r="P209" t="s">
        <v>690</v>
      </c>
      <c r="R209" t="s">
        <v>702</v>
      </c>
      <c r="S209" t="s">
        <v>705</v>
      </c>
    </row>
    <row r="210" spans="1:19" x14ac:dyDescent="0.2">
      <c r="A210" t="s">
        <v>632</v>
      </c>
      <c r="B210">
        <v>11</v>
      </c>
      <c r="C210" t="s">
        <v>270</v>
      </c>
      <c r="D210" t="s">
        <v>697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J210" t="s">
        <v>666</v>
      </c>
      <c r="K210" t="s">
        <v>674</v>
      </c>
      <c r="M210" t="s">
        <v>689</v>
      </c>
      <c r="N210" t="s">
        <v>691</v>
      </c>
      <c r="O210" t="s">
        <v>689</v>
      </c>
      <c r="P210" t="s">
        <v>690</v>
      </c>
      <c r="R210" t="s">
        <v>702</v>
      </c>
      <c r="S210" t="s">
        <v>705</v>
      </c>
    </row>
    <row r="211" spans="1:19" x14ac:dyDescent="0.2">
      <c r="A211" t="s">
        <v>632</v>
      </c>
      <c r="B211">
        <v>12</v>
      </c>
      <c r="C211" t="s">
        <v>271</v>
      </c>
      <c r="D211" t="s">
        <v>697</v>
      </c>
      <c r="E211" s="3">
        <v>37.700000000000003</v>
      </c>
      <c r="F211" s="3">
        <f>73.7-25.2</f>
        <v>48.5</v>
      </c>
      <c r="G211" s="3">
        <f t="shared" si="3"/>
        <v>46.1</v>
      </c>
      <c r="J211" t="s">
        <v>666</v>
      </c>
      <c r="K211" t="s">
        <v>670</v>
      </c>
      <c r="M211" t="s">
        <v>689</v>
      </c>
      <c r="N211" t="s">
        <v>689</v>
      </c>
      <c r="O211" t="s">
        <v>692</v>
      </c>
      <c r="P211" t="s">
        <v>690</v>
      </c>
      <c r="R211" t="s">
        <v>702</v>
      </c>
      <c r="S211" t="s">
        <v>705</v>
      </c>
    </row>
    <row r="212" spans="1:19" x14ac:dyDescent="0.2">
      <c r="A212" t="s">
        <v>632</v>
      </c>
      <c r="B212">
        <v>13</v>
      </c>
      <c r="C212" t="s">
        <v>272</v>
      </c>
      <c r="D212" t="s">
        <v>697</v>
      </c>
      <c r="E212" s="3">
        <v>41.4</v>
      </c>
      <c r="F212" s="3">
        <f>74.2-24.6</f>
        <v>49.6</v>
      </c>
      <c r="G212" s="3">
        <f t="shared" si="3"/>
        <v>49.8</v>
      </c>
      <c r="J212" t="s">
        <v>666</v>
      </c>
      <c r="K212" t="s">
        <v>670</v>
      </c>
      <c r="M212" t="s">
        <v>690</v>
      </c>
      <c r="N212" t="s">
        <v>690</v>
      </c>
      <c r="O212" t="s">
        <v>692</v>
      </c>
      <c r="P212" t="s">
        <v>690</v>
      </c>
      <c r="R212" t="s">
        <v>702</v>
      </c>
      <c r="S212" t="s">
        <v>705</v>
      </c>
    </row>
    <row r="213" spans="1:19" x14ac:dyDescent="0.2">
      <c r="A213" t="s">
        <v>633</v>
      </c>
      <c r="B213">
        <v>1</v>
      </c>
      <c r="C213" t="s">
        <v>273</v>
      </c>
      <c r="D213" t="s">
        <v>696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J213" t="s">
        <v>666</v>
      </c>
      <c r="K213" t="s">
        <v>673</v>
      </c>
      <c r="M213" t="s">
        <v>689</v>
      </c>
      <c r="N213" t="s">
        <v>692</v>
      </c>
      <c r="O213" t="s">
        <v>690</v>
      </c>
      <c r="P213" t="s">
        <v>690</v>
      </c>
      <c r="R213" t="s">
        <v>702</v>
      </c>
      <c r="S213" t="s">
        <v>705</v>
      </c>
    </row>
    <row r="214" spans="1:19" x14ac:dyDescent="0.2">
      <c r="A214" t="s">
        <v>633</v>
      </c>
      <c r="B214">
        <v>2</v>
      </c>
      <c r="C214" t="s">
        <v>274</v>
      </c>
      <c r="D214" t="s">
        <v>697</v>
      </c>
      <c r="E214" s="3">
        <v>5.8</v>
      </c>
      <c r="F214" s="3">
        <f>52.4-45.2</f>
        <v>7.1999999999999957</v>
      </c>
      <c r="G214" s="3">
        <f t="shared" si="3"/>
        <v>14.2</v>
      </c>
      <c r="J214" t="s">
        <v>666</v>
      </c>
      <c r="K214" t="s">
        <v>671</v>
      </c>
      <c r="M214" t="s">
        <v>691</v>
      </c>
      <c r="N214" t="s">
        <v>692</v>
      </c>
      <c r="O214" t="s">
        <v>690</v>
      </c>
      <c r="P214" t="s">
        <v>690</v>
      </c>
      <c r="R214" t="s">
        <v>702</v>
      </c>
      <c r="S214" t="s">
        <v>705</v>
      </c>
    </row>
    <row r="215" spans="1:19" x14ac:dyDescent="0.2">
      <c r="A215" t="s">
        <v>633</v>
      </c>
      <c r="B215">
        <v>3</v>
      </c>
      <c r="C215" t="s">
        <v>275</v>
      </c>
      <c r="D215" t="s">
        <v>697</v>
      </c>
      <c r="E215" s="3">
        <v>21.3</v>
      </c>
      <c r="F215" s="3">
        <f>59.3-38.4</f>
        <v>20.9</v>
      </c>
      <c r="G215" s="3">
        <f t="shared" si="3"/>
        <v>29.700000000000003</v>
      </c>
      <c r="J215" t="s">
        <v>666</v>
      </c>
      <c r="K215" t="s">
        <v>671</v>
      </c>
      <c r="M215" t="s">
        <v>692</v>
      </c>
      <c r="N215" t="s">
        <v>691</v>
      </c>
      <c r="O215" t="s">
        <v>690</v>
      </c>
      <c r="P215" t="s">
        <v>690</v>
      </c>
      <c r="R215" t="s">
        <v>702</v>
      </c>
      <c r="S215" t="s">
        <v>705</v>
      </c>
    </row>
    <row r="216" spans="1:19" x14ac:dyDescent="0.2">
      <c r="A216" t="s">
        <v>633</v>
      </c>
      <c r="B216">
        <v>4</v>
      </c>
      <c r="C216" t="s">
        <v>276</v>
      </c>
      <c r="D216" t="s">
        <v>697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J216" t="s">
        <v>666</v>
      </c>
      <c r="K216" t="s">
        <v>670</v>
      </c>
      <c r="M216" t="s">
        <v>691</v>
      </c>
      <c r="N216" t="s">
        <v>691</v>
      </c>
      <c r="O216" t="s">
        <v>689</v>
      </c>
      <c r="P216" t="s">
        <v>690</v>
      </c>
      <c r="R216" t="s">
        <v>702</v>
      </c>
      <c r="S216" t="s">
        <v>705</v>
      </c>
    </row>
    <row r="217" spans="1:19" x14ac:dyDescent="0.2">
      <c r="A217" t="s">
        <v>633</v>
      </c>
      <c r="B217">
        <v>5</v>
      </c>
      <c r="C217" t="s">
        <v>277</v>
      </c>
      <c r="D217" t="s">
        <v>697</v>
      </c>
      <c r="E217" s="3">
        <v>61.9</v>
      </c>
      <c r="F217" s="3">
        <f>80.3-17.4</f>
        <v>62.9</v>
      </c>
      <c r="G217" s="3">
        <f t="shared" si="3"/>
        <v>70.3</v>
      </c>
      <c r="J217" t="s">
        <v>666</v>
      </c>
      <c r="K217" t="s">
        <v>670</v>
      </c>
      <c r="M217" t="s">
        <v>692</v>
      </c>
      <c r="N217" t="s">
        <v>691</v>
      </c>
      <c r="O217" t="s">
        <v>689</v>
      </c>
      <c r="P217" t="s">
        <v>690</v>
      </c>
      <c r="R217" t="s">
        <v>702</v>
      </c>
      <c r="S217" t="s">
        <v>705</v>
      </c>
    </row>
    <row r="218" spans="1:19" x14ac:dyDescent="0.2">
      <c r="A218" t="s">
        <v>633</v>
      </c>
      <c r="B218">
        <v>6</v>
      </c>
      <c r="C218" t="s">
        <v>278</v>
      </c>
      <c r="D218" t="s">
        <v>696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J218" t="s">
        <v>666</v>
      </c>
      <c r="K218" t="s">
        <v>672</v>
      </c>
      <c r="M218" t="s">
        <v>689</v>
      </c>
      <c r="N218" t="s">
        <v>692</v>
      </c>
      <c r="O218" t="s">
        <v>690</v>
      </c>
      <c r="P218" t="s">
        <v>690</v>
      </c>
      <c r="R218" t="s">
        <v>702</v>
      </c>
      <c r="S218" t="s">
        <v>705</v>
      </c>
    </row>
    <row r="219" spans="1:19" x14ac:dyDescent="0.2">
      <c r="A219" t="s">
        <v>633</v>
      </c>
      <c r="B219">
        <v>7</v>
      </c>
      <c r="C219" t="s">
        <v>279</v>
      </c>
      <c r="D219" t="s">
        <v>696</v>
      </c>
      <c r="E219" s="3">
        <v>-36.5</v>
      </c>
      <c r="F219" s="3">
        <f>32.4-65.6</f>
        <v>-33.199999999999996</v>
      </c>
      <c r="G219" s="3">
        <f t="shared" si="3"/>
        <v>-28.1</v>
      </c>
      <c r="J219" t="s">
        <v>666</v>
      </c>
      <c r="K219" t="s">
        <v>673</v>
      </c>
      <c r="M219" t="s">
        <v>690</v>
      </c>
      <c r="N219" t="s">
        <v>692</v>
      </c>
      <c r="O219" t="s">
        <v>690</v>
      </c>
      <c r="P219" t="s">
        <v>690</v>
      </c>
      <c r="R219" t="s">
        <v>702</v>
      </c>
      <c r="S219" t="s">
        <v>705</v>
      </c>
    </row>
    <row r="220" spans="1:19" x14ac:dyDescent="0.2">
      <c r="A220" t="s">
        <v>633</v>
      </c>
      <c r="B220">
        <v>8</v>
      </c>
      <c r="C220" t="s">
        <v>280</v>
      </c>
      <c r="D220" t="s">
        <v>696</v>
      </c>
      <c r="E220" s="3">
        <v>-14.3</v>
      </c>
      <c r="F220" s="3">
        <f>43.3-54.5</f>
        <v>-11.200000000000003</v>
      </c>
      <c r="G220" s="3">
        <f t="shared" si="3"/>
        <v>-5.9</v>
      </c>
      <c r="J220" t="s">
        <v>666</v>
      </c>
      <c r="K220" t="s">
        <v>673</v>
      </c>
      <c r="M220" t="s">
        <v>689</v>
      </c>
      <c r="N220" t="s">
        <v>692</v>
      </c>
      <c r="O220" t="s">
        <v>690</v>
      </c>
      <c r="P220" t="s">
        <v>690</v>
      </c>
      <c r="R220" t="s">
        <v>702</v>
      </c>
      <c r="S220" t="s">
        <v>705</v>
      </c>
    </row>
    <row r="221" spans="1:19" x14ac:dyDescent="0.2">
      <c r="A221" t="s">
        <v>634</v>
      </c>
      <c r="B221">
        <v>1</v>
      </c>
      <c r="C221" t="s">
        <v>281</v>
      </c>
      <c r="D221" t="s">
        <v>696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282</v>
      </c>
      <c r="I221" t="s">
        <v>281</v>
      </c>
      <c r="J221" t="s">
        <v>676</v>
      </c>
      <c r="K221" t="s">
        <v>673</v>
      </c>
      <c r="M221" t="s">
        <v>690</v>
      </c>
      <c r="N221" t="s">
        <v>691</v>
      </c>
      <c r="O221" t="s">
        <v>691</v>
      </c>
      <c r="P221" t="s">
        <v>690</v>
      </c>
      <c r="R221" t="s">
        <v>702</v>
      </c>
      <c r="S221" t="s">
        <v>706</v>
      </c>
    </row>
    <row r="222" spans="1:19" x14ac:dyDescent="0.2">
      <c r="A222" t="s">
        <v>634</v>
      </c>
      <c r="B222">
        <v>2</v>
      </c>
      <c r="C222" t="s">
        <v>283</v>
      </c>
      <c r="D222" t="s">
        <v>697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283</v>
      </c>
      <c r="I222" s="4" t="s">
        <v>284</v>
      </c>
      <c r="J222" t="s">
        <v>676</v>
      </c>
      <c r="K222" t="s">
        <v>673</v>
      </c>
      <c r="M222" t="s">
        <v>690</v>
      </c>
      <c r="N222" t="s">
        <v>690</v>
      </c>
      <c r="O222" t="s">
        <v>692</v>
      </c>
      <c r="P222" t="s">
        <v>690</v>
      </c>
      <c r="R222" t="s">
        <v>702</v>
      </c>
      <c r="S222" t="s">
        <v>706</v>
      </c>
    </row>
    <row r="223" spans="1:19" x14ac:dyDescent="0.2">
      <c r="A223" t="s">
        <v>634</v>
      </c>
      <c r="B223">
        <v>3</v>
      </c>
      <c r="C223" t="s">
        <v>285</v>
      </c>
      <c r="D223" t="s">
        <v>696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286</v>
      </c>
      <c r="I223" t="s">
        <v>285</v>
      </c>
      <c r="J223" t="s">
        <v>676</v>
      </c>
      <c r="K223" t="s">
        <v>673</v>
      </c>
      <c r="M223" t="s">
        <v>689</v>
      </c>
      <c r="N223" t="s">
        <v>691</v>
      </c>
      <c r="O223" t="s">
        <v>691</v>
      </c>
      <c r="P223" t="s">
        <v>690</v>
      </c>
      <c r="R223" t="s">
        <v>702</v>
      </c>
      <c r="S223" t="s">
        <v>706</v>
      </c>
    </row>
    <row r="224" spans="1:19" x14ac:dyDescent="0.2">
      <c r="A224" t="s">
        <v>634</v>
      </c>
      <c r="B224">
        <v>4</v>
      </c>
      <c r="C224" t="s">
        <v>287</v>
      </c>
      <c r="D224" t="s">
        <v>696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288</v>
      </c>
      <c r="I224" t="s">
        <v>287</v>
      </c>
      <c r="J224" t="s">
        <v>676</v>
      </c>
      <c r="K224" t="s">
        <v>673</v>
      </c>
      <c r="M224" t="s">
        <v>690</v>
      </c>
      <c r="N224" t="s">
        <v>691</v>
      </c>
      <c r="O224" t="s">
        <v>691</v>
      </c>
      <c r="P224" t="s">
        <v>690</v>
      </c>
      <c r="R224" t="s">
        <v>702</v>
      </c>
      <c r="S224" t="s">
        <v>706</v>
      </c>
    </row>
    <row r="225" spans="1:19" x14ac:dyDescent="0.2">
      <c r="A225" t="s">
        <v>635</v>
      </c>
      <c r="B225">
        <v>1</v>
      </c>
      <c r="C225" t="s">
        <v>289</v>
      </c>
      <c r="D225" t="s">
        <v>697</v>
      </c>
      <c r="E225" s="3">
        <v>57.5</v>
      </c>
      <c r="F225" s="3">
        <f>78.6-19.8</f>
        <v>58.8</v>
      </c>
      <c r="G225" s="3">
        <f t="shared" si="3"/>
        <v>65.900000000000006</v>
      </c>
      <c r="J225" t="s">
        <v>666</v>
      </c>
      <c r="K225" t="s">
        <v>670</v>
      </c>
      <c r="M225" t="s">
        <v>689</v>
      </c>
      <c r="N225" t="s">
        <v>690</v>
      </c>
      <c r="O225" t="s">
        <v>691</v>
      </c>
      <c r="P225" t="s">
        <v>690</v>
      </c>
      <c r="R225" t="s">
        <v>702</v>
      </c>
      <c r="S225" t="s">
        <v>705</v>
      </c>
    </row>
    <row r="226" spans="1:19" x14ac:dyDescent="0.2">
      <c r="A226" t="s">
        <v>635</v>
      </c>
      <c r="B226">
        <v>2</v>
      </c>
      <c r="C226" t="s">
        <v>290</v>
      </c>
      <c r="D226" t="s">
        <v>696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J226" t="s">
        <v>666</v>
      </c>
      <c r="K226" t="s">
        <v>673</v>
      </c>
      <c r="M226" t="s">
        <v>691</v>
      </c>
      <c r="N226" t="s">
        <v>692</v>
      </c>
      <c r="O226" t="s">
        <v>690</v>
      </c>
      <c r="P226" t="s">
        <v>690</v>
      </c>
      <c r="R226" t="s">
        <v>702</v>
      </c>
      <c r="S226" t="s">
        <v>705</v>
      </c>
    </row>
    <row r="227" spans="1:19" x14ac:dyDescent="0.2">
      <c r="A227" t="s">
        <v>635</v>
      </c>
      <c r="B227">
        <v>3</v>
      </c>
      <c r="C227" t="s">
        <v>291</v>
      </c>
      <c r="D227" t="s">
        <v>696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J227" t="s">
        <v>666</v>
      </c>
      <c r="K227" t="s">
        <v>673</v>
      </c>
      <c r="M227" t="s">
        <v>691</v>
      </c>
      <c r="N227" t="s">
        <v>692</v>
      </c>
      <c r="O227" t="s">
        <v>690</v>
      </c>
      <c r="P227" t="s">
        <v>690</v>
      </c>
      <c r="R227" t="s">
        <v>702</v>
      </c>
      <c r="S227" t="s">
        <v>705</v>
      </c>
    </row>
    <row r="228" spans="1:19" x14ac:dyDescent="0.2">
      <c r="A228" t="s">
        <v>635</v>
      </c>
      <c r="B228">
        <v>4</v>
      </c>
      <c r="C228" t="s">
        <v>292</v>
      </c>
      <c r="D228" t="s">
        <v>696</v>
      </c>
      <c r="E228" s="3">
        <v>-21</v>
      </c>
      <c r="F228" s="3">
        <f>39.7-58.5</f>
        <v>-18.799999999999997</v>
      </c>
      <c r="G228" s="3">
        <f t="shared" si="3"/>
        <v>-12.6</v>
      </c>
      <c r="J228" t="s">
        <v>666</v>
      </c>
      <c r="K228" t="s">
        <v>673</v>
      </c>
      <c r="M228" t="s">
        <v>689</v>
      </c>
      <c r="N228" t="s">
        <v>692</v>
      </c>
      <c r="O228" t="s">
        <v>690</v>
      </c>
      <c r="P228" t="s">
        <v>690</v>
      </c>
      <c r="R228" t="s">
        <v>702</v>
      </c>
      <c r="S228" t="s">
        <v>705</v>
      </c>
    </row>
    <row r="229" spans="1:19" x14ac:dyDescent="0.2">
      <c r="A229" t="s">
        <v>635</v>
      </c>
      <c r="B229">
        <v>5</v>
      </c>
      <c r="C229" t="s">
        <v>293</v>
      </c>
      <c r="D229" t="s">
        <v>697</v>
      </c>
      <c r="E229" s="3">
        <v>-18.3</v>
      </c>
      <c r="F229" s="3">
        <f>41.9-56.1</f>
        <v>-14.200000000000003</v>
      </c>
      <c r="G229" s="3">
        <f t="shared" si="3"/>
        <v>-9.9</v>
      </c>
      <c r="J229" t="s">
        <v>666</v>
      </c>
      <c r="K229" t="s">
        <v>673</v>
      </c>
      <c r="M229" t="s">
        <v>690</v>
      </c>
      <c r="N229" t="s">
        <v>691</v>
      </c>
      <c r="O229" t="s">
        <v>689</v>
      </c>
      <c r="P229" t="s">
        <v>690</v>
      </c>
      <c r="R229" t="s">
        <v>702</v>
      </c>
      <c r="S229" t="s">
        <v>705</v>
      </c>
    </row>
    <row r="230" spans="1:19" x14ac:dyDescent="0.2">
      <c r="A230" t="s">
        <v>635</v>
      </c>
      <c r="B230">
        <v>6</v>
      </c>
      <c r="C230" t="s">
        <v>294</v>
      </c>
      <c r="D230" t="s">
        <v>696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J230" t="s">
        <v>666</v>
      </c>
      <c r="K230" t="s">
        <v>673</v>
      </c>
      <c r="M230" t="s">
        <v>689</v>
      </c>
      <c r="N230" t="s">
        <v>692</v>
      </c>
      <c r="O230" t="s">
        <v>690</v>
      </c>
      <c r="P230" t="s">
        <v>690</v>
      </c>
      <c r="R230" t="s">
        <v>702</v>
      </c>
      <c r="S230" t="s">
        <v>705</v>
      </c>
    </row>
    <row r="231" spans="1:19" x14ac:dyDescent="0.2">
      <c r="A231" t="s">
        <v>635</v>
      </c>
      <c r="B231">
        <v>7</v>
      </c>
      <c r="C231" t="s">
        <v>295</v>
      </c>
      <c r="D231" t="s">
        <v>696</v>
      </c>
      <c r="E231" s="3">
        <v>-42.6</v>
      </c>
      <c r="F231" s="3">
        <f>28.4-69.8</f>
        <v>-41.4</v>
      </c>
      <c r="G231" s="3">
        <f t="shared" si="3"/>
        <v>-34.200000000000003</v>
      </c>
      <c r="J231" t="s">
        <v>666</v>
      </c>
      <c r="K231" t="s">
        <v>673</v>
      </c>
      <c r="M231" t="s">
        <v>689</v>
      </c>
      <c r="N231" t="s">
        <v>692</v>
      </c>
      <c r="O231" t="s">
        <v>690</v>
      </c>
      <c r="P231" t="s">
        <v>690</v>
      </c>
      <c r="R231" t="s">
        <v>702</v>
      </c>
      <c r="S231" t="s">
        <v>705</v>
      </c>
    </row>
    <row r="232" spans="1:19" x14ac:dyDescent="0.2">
      <c r="A232" t="s">
        <v>635</v>
      </c>
      <c r="B232">
        <v>8</v>
      </c>
      <c r="C232" t="s">
        <v>296</v>
      </c>
      <c r="D232" t="s">
        <v>696</v>
      </c>
      <c r="E232" s="3">
        <v>-53.8</v>
      </c>
      <c r="F232" s="3">
        <f>23.6-74.9</f>
        <v>-51.300000000000004</v>
      </c>
      <c r="G232" s="3">
        <f t="shared" si="3"/>
        <v>-45.4</v>
      </c>
      <c r="J232" t="s">
        <v>666</v>
      </c>
      <c r="K232" t="s">
        <v>673</v>
      </c>
      <c r="M232" t="s">
        <v>690</v>
      </c>
      <c r="N232" t="s">
        <v>692</v>
      </c>
      <c r="O232" t="s">
        <v>690</v>
      </c>
      <c r="P232" t="s">
        <v>690</v>
      </c>
      <c r="R232" t="s">
        <v>702</v>
      </c>
      <c r="S232" t="s">
        <v>705</v>
      </c>
    </row>
    <row r="233" spans="1:19" x14ac:dyDescent="0.2">
      <c r="A233" t="s">
        <v>636</v>
      </c>
      <c r="B233">
        <v>1</v>
      </c>
      <c r="C233" t="s">
        <v>297</v>
      </c>
      <c r="D233" t="s">
        <v>696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J233" t="s">
        <v>668</v>
      </c>
      <c r="K233" t="s">
        <v>673</v>
      </c>
      <c r="M233" t="s">
        <v>691</v>
      </c>
      <c r="N233" t="s">
        <v>692</v>
      </c>
      <c r="O233" t="s">
        <v>690</v>
      </c>
      <c r="P233" t="s">
        <v>690</v>
      </c>
      <c r="R233" t="s">
        <v>702</v>
      </c>
      <c r="S233" t="s">
        <v>705</v>
      </c>
    </row>
    <row r="234" spans="1:19" x14ac:dyDescent="0.2">
      <c r="A234" t="s">
        <v>636</v>
      </c>
      <c r="B234">
        <v>2</v>
      </c>
      <c r="C234" t="s">
        <v>298</v>
      </c>
      <c r="D234" t="s">
        <v>696</v>
      </c>
      <c r="E234" s="3">
        <v>-29.5</v>
      </c>
      <c r="F234" s="3">
        <f>35.3-62.2</f>
        <v>-26.900000000000006</v>
      </c>
      <c r="G234" s="3">
        <f t="shared" si="3"/>
        <v>-21.1</v>
      </c>
      <c r="J234" t="s">
        <v>668</v>
      </c>
      <c r="K234" t="s">
        <v>673</v>
      </c>
      <c r="M234" t="s">
        <v>689</v>
      </c>
      <c r="N234" t="s">
        <v>692</v>
      </c>
      <c r="O234" t="s">
        <v>690</v>
      </c>
      <c r="P234" t="s">
        <v>690</v>
      </c>
      <c r="R234" t="s">
        <v>702</v>
      </c>
      <c r="S234" t="s">
        <v>705</v>
      </c>
    </row>
    <row r="235" spans="1:19" x14ac:dyDescent="0.2">
      <c r="A235" t="s">
        <v>637</v>
      </c>
      <c r="B235">
        <v>1</v>
      </c>
      <c r="C235" t="s">
        <v>299</v>
      </c>
      <c r="D235" t="s">
        <v>696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300</v>
      </c>
      <c r="I235" t="s">
        <v>299</v>
      </c>
      <c r="J235" t="s">
        <v>681</v>
      </c>
      <c r="K235" t="s">
        <v>673</v>
      </c>
      <c r="M235" t="s">
        <v>689</v>
      </c>
      <c r="N235" t="s">
        <v>692</v>
      </c>
      <c r="O235" t="s">
        <v>690</v>
      </c>
      <c r="P235" t="s">
        <v>690</v>
      </c>
      <c r="R235" t="s">
        <v>702</v>
      </c>
      <c r="S235" t="s">
        <v>706</v>
      </c>
    </row>
    <row r="236" spans="1:19" x14ac:dyDescent="0.2">
      <c r="A236" t="s">
        <v>637</v>
      </c>
      <c r="B236">
        <v>2</v>
      </c>
      <c r="C236" t="s">
        <v>301</v>
      </c>
      <c r="D236" t="s">
        <v>696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302</v>
      </c>
      <c r="I236" s="4" t="s">
        <v>303</v>
      </c>
      <c r="J236" t="s">
        <v>681</v>
      </c>
      <c r="K236" t="s">
        <v>671</v>
      </c>
      <c r="M236" t="s">
        <v>691</v>
      </c>
      <c r="N236" t="s">
        <v>691</v>
      </c>
      <c r="O236" t="s">
        <v>689</v>
      </c>
      <c r="P236" t="s">
        <v>690</v>
      </c>
      <c r="R236" t="s">
        <v>702</v>
      </c>
      <c r="S236" t="s">
        <v>706</v>
      </c>
    </row>
    <row r="237" spans="1:19" x14ac:dyDescent="0.2">
      <c r="A237" t="s">
        <v>637</v>
      </c>
      <c r="B237">
        <v>3</v>
      </c>
      <c r="C237" t="s">
        <v>304</v>
      </c>
      <c r="D237" t="s">
        <v>696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305</v>
      </c>
      <c r="I237" t="s">
        <v>304</v>
      </c>
      <c r="J237" t="s">
        <v>681</v>
      </c>
      <c r="K237" t="s">
        <v>673</v>
      </c>
      <c r="M237" t="s">
        <v>690</v>
      </c>
      <c r="N237" t="s">
        <v>692</v>
      </c>
      <c r="O237" t="s">
        <v>690</v>
      </c>
      <c r="P237" t="s">
        <v>690</v>
      </c>
      <c r="R237" t="s">
        <v>702</v>
      </c>
      <c r="S237" t="s">
        <v>706</v>
      </c>
    </row>
    <row r="238" spans="1:19" x14ac:dyDescent="0.2">
      <c r="A238" t="s">
        <v>638</v>
      </c>
      <c r="B238">
        <v>1</v>
      </c>
      <c r="C238" t="s">
        <v>306</v>
      </c>
      <c r="D238" t="s">
        <v>697</v>
      </c>
      <c r="E238" s="3">
        <v>2.2999999999999998</v>
      </c>
      <c r="F238" s="3">
        <f>53.2-44.7</f>
        <v>8.5</v>
      </c>
      <c r="G238" s="3">
        <f t="shared" si="3"/>
        <v>10.7</v>
      </c>
      <c r="J238" t="s">
        <v>668</v>
      </c>
      <c r="K238" t="s">
        <v>674</v>
      </c>
      <c r="M238" t="s">
        <v>690</v>
      </c>
      <c r="N238" t="s">
        <v>690</v>
      </c>
      <c r="O238" t="s">
        <v>689</v>
      </c>
      <c r="P238" t="s">
        <v>691</v>
      </c>
      <c r="R238" t="s">
        <v>702</v>
      </c>
      <c r="S238" t="s">
        <v>705</v>
      </c>
    </row>
    <row r="239" spans="1:19" x14ac:dyDescent="0.2">
      <c r="A239" t="s">
        <v>638</v>
      </c>
      <c r="B239">
        <v>2</v>
      </c>
      <c r="C239" t="s">
        <v>307</v>
      </c>
      <c r="D239" t="s">
        <v>696</v>
      </c>
      <c r="E239" s="3">
        <v>-14</v>
      </c>
      <c r="F239" s="3">
        <f>43.1-54.1</f>
        <v>-11</v>
      </c>
      <c r="G239" s="3">
        <f t="shared" si="3"/>
        <v>-5.6</v>
      </c>
      <c r="J239" t="s">
        <v>668</v>
      </c>
      <c r="K239" t="s">
        <v>673</v>
      </c>
      <c r="M239" t="s">
        <v>689</v>
      </c>
      <c r="N239" t="s">
        <v>691</v>
      </c>
      <c r="O239" t="s">
        <v>689</v>
      </c>
      <c r="P239" t="s">
        <v>689</v>
      </c>
      <c r="R239" t="s">
        <v>702</v>
      </c>
      <c r="S239" t="s">
        <v>705</v>
      </c>
    </row>
    <row r="240" spans="1:19" x14ac:dyDescent="0.2">
      <c r="A240" t="s">
        <v>638</v>
      </c>
      <c r="B240">
        <v>3</v>
      </c>
      <c r="C240" t="s">
        <v>308</v>
      </c>
      <c r="D240" t="s">
        <v>697</v>
      </c>
      <c r="E240" s="3">
        <v>-0.7</v>
      </c>
      <c r="F240" s="3">
        <f>52.4-45.7</f>
        <v>6.6999999999999957</v>
      </c>
      <c r="G240" s="3">
        <f t="shared" si="3"/>
        <v>7.7</v>
      </c>
      <c r="J240" t="s">
        <v>668</v>
      </c>
      <c r="K240" t="s">
        <v>674</v>
      </c>
      <c r="M240" t="s">
        <v>689</v>
      </c>
      <c r="N240" t="s">
        <v>689</v>
      </c>
      <c r="O240" t="s">
        <v>689</v>
      </c>
      <c r="P240" t="s">
        <v>689</v>
      </c>
      <c r="R240" t="s">
        <v>702</v>
      </c>
      <c r="S240" t="s">
        <v>705</v>
      </c>
    </row>
    <row r="241" spans="1:19" x14ac:dyDescent="0.2">
      <c r="A241" t="s">
        <v>638</v>
      </c>
      <c r="B241">
        <v>4</v>
      </c>
      <c r="C241" t="s">
        <v>309</v>
      </c>
      <c r="D241" t="s">
        <v>697</v>
      </c>
      <c r="E241" s="3">
        <v>2.8</v>
      </c>
      <c r="F241" s="3">
        <f>53-44.8</f>
        <v>8.2000000000000028</v>
      </c>
      <c r="G241" s="3">
        <f t="shared" si="3"/>
        <v>11.2</v>
      </c>
      <c r="J241" t="s">
        <v>668</v>
      </c>
      <c r="K241" t="s">
        <v>674</v>
      </c>
      <c r="M241" t="s">
        <v>690</v>
      </c>
      <c r="N241" t="s">
        <v>690</v>
      </c>
      <c r="O241" t="s">
        <v>689</v>
      </c>
      <c r="P241" t="s">
        <v>691</v>
      </c>
      <c r="R241" t="s">
        <v>702</v>
      </c>
      <c r="S241" t="s">
        <v>705</v>
      </c>
    </row>
    <row r="242" spans="1:19" x14ac:dyDescent="0.2">
      <c r="A242" t="s">
        <v>639</v>
      </c>
      <c r="B242">
        <v>1</v>
      </c>
      <c r="C242" t="s">
        <v>310</v>
      </c>
      <c r="D242" t="s">
        <v>697</v>
      </c>
      <c r="E242" s="3">
        <v>2</v>
      </c>
      <c r="F242" s="3">
        <f>52.2-46.2</f>
        <v>6</v>
      </c>
      <c r="G242" s="3">
        <f t="shared" si="3"/>
        <v>10.4</v>
      </c>
      <c r="J242" t="s">
        <v>665</v>
      </c>
      <c r="K242" t="s">
        <v>674</v>
      </c>
      <c r="M242" t="s">
        <v>691</v>
      </c>
      <c r="N242" t="s">
        <v>692</v>
      </c>
      <c r="O242" t="s">
        <v>690</v>
      </c>
      <c r="P242" t="s">
        <v>690</v>
      </c>
      <c r="R242" t="s">
        <v>702</v>
      </c>
      <c r="S242" t="s">
        <v>705</v>
      </c>
    </row>
    <row r="243" spans="1:19" x14ac:dyDescent="0.2">
      <c r="A243" t="s">
        <v>639</v>
      </c>
      <c r="B243">
        <v>2</v>
      </c>
      <c r="C243" t="s">
        <v>311</v>
      </c>
      <c r="D243" t="s">
        <v>697</v>
      </c>
      <c r="E243" s="3">
        <v>3.6</v>
      </c>
      <c r="F243" s="3">
        <f>53.6-44.7</f>
        <v>8.8999999999999986</v>
      </c>
      <c r="G243" s="3">
        <f t="shared" si="3"/>
        <v>12</v>
      </c>
      <c r="J243" t="s">
        <v>665</v>
      </c>
      <c r="K243" t="s">
        <v>674</v>
      </c>
      <c r="M243" t="s">
        <v>691</v>
      </c>
      <c r="N243" t="s">
        <v>692</v>
      </c>
      <c r="O243" t="s">
        <v>690</v>
      </c>
      <c r="P243" t="s">
        <v>690</v>
      </c>
      <c r="R243" t="s">
        <v>702</v>
      </c>
      <c r="S243" t="s">
        <v>705</v>
      </c>
    </row>
    <row r="244" spans="1:19" x14ac:dyDescent="0.2">
      <c r="A244" t="s">
        <v>640</v>
      </c>
      <c r="B244">
        <v>1</v>
      </c>
      <c r="C244" t="s">
        <v>312</v>
      </c>
      <c r="D244" t="s">
        <v>697</v>
      </c>
      <c r="E244" s="3">
        <v>18.7</v>
      </c>
      <c r="F244" s="3">
        <f>61.5-37.1</f>
        <v>24.4</v>
      </c>
      <c r="G244" s="3">
        <f t="shared" si="3"/>
        <v>27.1</v>
      </c>
      <c r="J244" t="s">
        <v>678</v>
      </c>
      <c r="K244" t="s">
        <v>674</v>
      </c>
      <c r="M244" t="s">
        <v>689</v>
      </c>
      <c r="N244" t="s">
        <v>691</v>
      </c>
      <c r="O244" t="s">
        <v>689</v>
      </c>
      <c r="P244" t="s">
        <v>690</v>
      </c>
      <c r="R244" t="s">
        <v>702</v>
      </c>
      <c r="S244" t="s">
        <v>705</v>
      </c>
    </row>
    <row r="245" spans="1:19" x14ac:dyDescent="0.2">
      <c r="A245" t="s">
        <v>640</v>
      </c>
      <c r="B245">
        <v>2</v>
      </c>
      <c r="C245" t="s">
        <v>313</v>
      </c>
      <c r="D245" t="s">
        <v>696</v>
      </c>
      <c r="E245" s="3">
        <v>-12.6</v>
      </c>
      <c r="F245" s="3">
        <f>46.8-51.8</f>
        <v>-5</v>
      </c>
      <c r="G245" s="3">
        <f t="shared" si="3"/>
        <v>-4.1999999999999993</v>
      </c>
      <c r="J245" t="s">
        <v>678</v>
      </c>
      <c r="K245" t="s">
        <v>673</v>
      </c>
      <c r="M245" t="s">
        <v>689</v>
      </c>
      <c r="N245" t="s">
        <v>691</v>
      </c>
      <c r="O245" t="s">
        <v>689</v>
      </c>
      <c r="P245" t="s">
        <v>690</v>
      </c>
      <c r="R245" t="s">
        <v>702</v>
      </c>
      <c r="S245" t="s">
        <v>705</v>
      </c>
    </row>
    <row r="246" spans="1:19" x14ac:dyDescent="0.2">
      <c r="A246" t="s">
        <v>640</v>
      </c>
      <c r="B246">
        <v>3</v>
      </c>
      <c r="C246" t="s">
        <v>314</v>
      </c>
      <c r="D246" t="s">
        <v>697</v>
      </c>
      <c r="E246" s="3">
        <v>8.4</v>
      </c>
      <c r="F246" s="3">
        <f>56.4-42.3</f>
        <v>14.100000000000001</v>
      </c>
      <c r="G246" s="3">
        <f t="shared" si="3"/>
        <v>16.8</v>
      </c>
      <c r="J246" t="s">
        <v>678</v>
      </c>
      <c r="K246" t="s">
        <v>674</v>
      </c>
      <c r="M246" t="s">
        <v>691</v>
      </c>
      <c r="N246" t="s">
        <v>691</v>
      </c>
      <c r="O246" t="s">
        <v>689</v>
      </c>
      <c r="P246" t="s">
        <v>690</v>
      </c>
      <c r="R246" t="s">
        <v>702</v>
      </c>
      <c r="S246" t="s">
        <v>705</v>
      </c>
    </row>
    <row r="247" spans="1:19" x14ac:dyDescent="0.2">
      <c r="A247" t="s">
        <v>640</v>
      </c>
      <c r="B247">
        <v>4</v>
      </c>
      <c r="C247" t="s">
        <v>315</v>
      </c>
      <c r="D247" t="s">
        <v>696</v>
      </c>
      <c r="E247" s="3">
        <v>-30.1</v>
      </c>
      <c r="F247" s="3">
        <f>38.1-60.6</f>
        <v>-22.5</v>
      </c>
      <c r="G247" s="3">
        <f t="shared" si="3"/>
        <v>-21.700000000000003</v>
      </c>
      <c r="J247" t="s">
        <v>678</v>
      </c>
      <c r="K247" t="s">
        <v>674</v>
      </c>
      <c r="M247" t="s">
        <v>691</v>
      </c>
      <c r="N247" t="s">
        <v>692</v>
      </c>
      <c r="O247" t="s">
        <v>690</v>
      </c>
      <c r="P247" t="s">
        <v>690</v>
      </c>
      <c r="R247" t="s">
        <v>702</v>
      </c>
      <c r="S247" t="s">
        <v>705</v>
      </c>
    </row>
    <row r="248" spans="1:19" x14ac:dyDescent="0.2">
      <c r="A248" t="s">
        <v>640</v>
      </c>
      <c r="B248">
        <v>5</v>
      </c>
      <c r="C248" t="s">
        <v>316</v>
      </c>
      <c r="D248" t="s">
        <v>697</v>
      </c>
      <c r="E248" s="3">
        <v>1.8</v>
      </c>
      <c r="F248" s="3">
        <f>55.6-43.2</f>
        <v>12.399999999999999</v>
      </c>
      <c r="G248" s="3">
        <f t="shared" si="3"/>
        <v>10.200000000000001</v>
      </c>
      <c r="J248" t="s">
        <v>678</v>
      </c>
      <c r="K248" t="s">
        <v>674</v>
      </c>
      <c r="M248" t="s">
        <v>692</v>
      </c>
      <c r="N248" t="s">
        <v>691</v>
      </c>
      <c r="O248" t="s">
        <v>690</v>
      </c>
      <c r="P248" t="s">
        <v>690</v>
      </c>
      <c r="R248" t="s">
        <v>702</v>
      </c>
      <c r="S248" t="s">
        <v>705</v>
      </c>
    </row>
    <row r="249" spans="1:19" x14ac:dyDescent="0.2">
      <c r="A249" t="s">
        <v>640</v>
      </c>
      <c r="B249">
        <v>6</v>
      </c>
      <c r="C249" t="s">
        <v>317</v>
      </c>
      <c r="D249" t="s">
        <v>697</v>
      </c>
      <c r="E249" s="3">
        <v>6.4</v>
      </c>
      <c r="F249" s="3">
        <f>59.2-39.5</f>
        <v>19.700000000000003</v>
      </c>
      <c r="G249" s="3">
        <f t="shared" si="3"/>
        <v>14.8</v>
      </c>
      <c r="J249" t="s">
        <v>678</v>
      </c>
      <c r="K249" t="s">
        <v>671</v>
      </c>
      <c r="M249" t="s">
        <v>691</v>
      </c>
      <c r="N249" t="s">
        <v>690</v>
      </c>
      <c r="O249" t="s">
        <v>689</v>
      </c>
      <c r="P249" t="s">
        <v>689</v>
      </c>
      <c r="R249" t="s">
        <v>702</v>
      </c>
      <c r="S249" t="s">
        <v>705</v>
      </c>
    </row>
    <row r="250" spans="1:19" x14ac:dyDescent="0.2">
      <c r="A250" t="s">
        <v>640</v>
      </c>
      <c r="B250">
        <v>7</v>
      </c>
      <c r="C250" t="s">
        <v>318</v>
      </c>
      <c r="D250" t="s">
        <v>696</v>
      </c>
      <c r="E250" s="3">
        <v>-1.2</v>
      </c>
      <c r="F250" s="3">
        <f>51-47.4</f>
        <v>3.6000000000000014</v>
      </c>
      <c r="G250" s="3">
        <f t="shared" si="3"/>
        <v>7.2</v>
      </c>
      <c r="J250" t="s">
        <v>678</v>
      </c>
      <c r="K250" t="s">
        <v>671</v>
      </c>
      <c r="M250" t="s">
        <v>692</v>
      </c>
      <c r="N250" t="s">
        <v>691</v>
      </c>
      <c r="O250" t="s">
        <v>690</v>
      </c>
      <c r="P250" t="s">
        <v>690</v>
      </c>
      <c r="R250" t="s">
        <v>702</v>
      </c>
      <c r="S250" t="s">
        <v>705</v>
      </c>
    </row>
    <row r="251" spans="1:19" x14ac:dyDescent="0.2">
      <c r="A251" t="s">
        <v>640</v>
      </c>
      <c r="B251">
        <v>8</v>
      </c>
      <c r="C251" t="s">
        <v>319</v>
      </c>
      <c r="D251" t="s">
        <v>697</v>
      </c>
      <c r="E251" s="3">
        <v>24.2</v>
      </c>
      <c r="F251" s="3">
        <f>71.9-27.1</f>
        <v>44.800000000000004</v>
      </c>
      <c r="G251" s="3">
        <f t="shared" si="3"/>
        <v>32.6</v>
      </c>
      <c r="J251" t="s">
        <v>678</v>
      </c>
      <c r="K251" t="s">
        <v>670</v>
      </c>
      <c r="M251" t="s">
        <v>691</v>
      </c>
      <c r="N251" t="s">
        <v>690</v>
      </c>
      <c r="O251" t="s">
        <v>689</v>
      </c>
      <c r="P251" t="s">
        <v>691</v>
      </c>
      <c r="R251" t="s">
        <v>702</v>
      </c>
      <c r="S251" t="s">
        <v>705</v>
      </c>
    </row>
    <row r="252" spans="1:19" x14ac:dyDescent="0.2">
      <c r="A252" t="s">
        <v>640</v>
      </c>
      <c r="B252">
        <v>9</v>
      </c>
      <c r="C252" t="s">
        <v>320</v>
      </c>
      <c r="D252" t="s">
        <v>697</v>
      </c>
      <c r="E252" s="3">
        <v>-1.1000000000000001</v>
      </c>
      <c r="F252" s="3">
        <f>59-40</f>
        <v>19</v>
      </c>
      <c r="G252" s="3">
        <f t="shared" si="3"/>
        <v>7.3000000000000007</v>
      </c>
      <c r="J252" t="s">
        <v>678</v>
      </c>
      <c r="K252" t="s">
        <v>671</v>
      </c>
      <c r="M252" t="s">
        <v>689</v>
      </c>
      <c r="N252" t="s">
        <v>690</v>
      </c>
      <c r="O252" t="s">
        <v>689</v>
      </c>
      <c r="P252" t="s">
        <v>691</v>
      </c>
      <c r="R252" t="s">
        <v>702</v>
      </c>
      <c r="S252" t="s">
        <v>705</v>
      </c>
    </row>
    <row r="253" spans="1:19" x14ac:dyDescent="0.2">
      <c r="A253" t="s">
        <v>640</v>
      </c>
      <c r="B253">
        <v>10</v>
      </c>
      <c r="C253" t="s">
        <v>321</v>
      </c>
      <c r="D253" t="s">
        <v>697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J253" t="s">
        <v>678</v>
      </c>
      <c r="K253" t="s">
        <v>670</v>
      </c>
      <c r="M253" t="s">
        <v>689</v>
      </c>
      <c r="N253" t="s">
        <v>690</v>
      </c>
      <c r="O253" t="s">
        <v>692</v>
      </c>
      <c r="P253" t="s">
        <v>689</v>
      </c>
      <c r="R253" t="s">
        <v>702</v>
      </c>
      <c r="S253" t="s">
        <v>705</v>
      </c>
    </row>
    <row r="254" spans="1:19" x14ac:dyDescent="0.2">
      <c r="A254" t="s">
        <v>640</v>
      </c>
      <c r="B254">
        <v>11</v>
      </c>
      <c r="C254" t="s">
        <v>699</v>
      </c>
      <c r="D254" t="s">
        <v>697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J254" t="s">
        <v>678</v>
      </c>
      <c r="K254" t="s">
        <v>671</v>
      </c>
      <c r="M254" t="s">
        <v>692</v>
      </c>
      <c r="N254" t="s">
        <v>691</v>
      </c>
      <c r="O254" t="s">
        <v>690</v>
      </c>
      <c r="P254" t="s">
        <v>689</v>
      </c>
      <c r="R254" t="s">
        <v>702</v>
      </c>
      <c r="S254" t="s">
        <v>705</v>
      </c>
    </row>
    <row r="255" spans="1:19" x14ac:dyDescent="0.2">
      <c r="A255" t="s">
        <v>640</v>
      </c>
      <c r="B255">
        <v>12</v>
      </c>
      <c r="C255" t="s">
        <v>323</v>
      </c>
      <c r="D255" t="s">
        <v>697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J255" t="s">
        <v>678</v>
      </c>
      <c r="K255" t="s">
        <v>670</v>
      </c>
      <c r="M255" t="s">
        <v>692</v>
      </c>
      <c r="N255" t="s">
        <v>690</v>
      </c>
      <c r="O255" t="s">
        <v>689</v>
      </c>
      <c r="P255" t="s">
        <v>689</v>
      </c>
      <c r="R255" t="s">
        <v>702</v>
      </c>
      <c r="S255" t="s">
        <v>705</v>
      </c>
    </row>
    <row r="256" spans="1:19" x14ac:dyDescent="0.2">
      <c r="A256" t="s">
        <v>641</v>
      </c>
      <c r="B256">
        <v>1</v>
      </c>
      <c r="C256" t="s">
        <v>324</v>
      </c>
      <c r="D256" t="s">
        <v>697</v>
      </c>
      <c r="E256" s="3">
        <v>12.9</v>
      </c>
      <c r="F256" s="3">
        <f>56-41.6</f>
        <v>14.399999999999999</v>
      </c>
      <c r="G256" s="3">
        <f t="shared" si="3"/>
        <v>21.3</v>
      </c>
      <c r="J256" t="s">
        <v>677</v>
      </c>
      <c r="K256" t="s">
        <v>674</v>
      </c>
      <c r="M256" t="s">
        <v>691</v>
      </c>
      <c r="N256" t="s">
        <v>689</v>
      </c>
      <c r="O256" t="s">
        <v>690</v>
      </c>
      <c r="P256" t="s">
        <v>691</v>
      </c>
      <c r="R256" t="s">
        <v>702</v>
      </c>
      <c r="S256" t="s">
        <v>705</v>
      </c>
    </row>
    <row r="257" spans="1:19" x14ac:dyDescent="0.2">
      <c r="A257" t="s">
        <v>641</v>
      </c>
      <c r="B257">
        <v>2</v>
      </c>
      <c r="C257" t="s">
        <v>325</v>
      </c>
      <c r="D257" t="s">
        <v>697</v>
      </c>
      <c r="E257" s="3">
        <v>-1.9</v>
      </c>
      <c r="F257" s="3">
        <f>51.9-46</f>
        <v>5.8999999999999986</v>
      </c>
      <c r="G257" s="3">
        <f t="shared" si="3"/>
        <v>6.5</v>
      </c>
      <c r="J257" t="s">
        <v>677</v>
      </c>
      <c r="K257" t="s">
        <v>673</v>
      </c>
      <c r="M257" t="s">
        <v>690</v>
      </c>
      <c r="N257" t="s">
        <v>690</v>
      </c>
      <c r="O257" t="s">
        <v>690</v>
      </c>
      <c r="P257" t="s">
        <v>692</v>
      </c>
      <c r="R257" t="s">
        <v>702</v>
      </c>
      <c r="S257" t="s">
        <v>705</v>
      </c>
    </row>
    <row r="258" spans="1:19" x14ac:dyDescent="0.2">
      <c r="A258" t="s">
        <v>641</v>
      </c>
      <c r="B258">
        <v>3</v>
      </c>
      <c r="C258" t="s">
        <v>326</v>
      </c>
      <c r="D258" t="s">
        <v>697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J258" t="s">
        <v>677</v>
      </c>
      <c r="K258" t="s">
        <v>674</v>
      </c>
      <c r="M258" t="s">
        <v>690</v>
      </c>
      <c r="N258" t="s">
        <v>690</v>
      </c>
      <c r="O258" t="s">
        <v>690</v>
      </c>
      <c r="P258" t="s">
        <v>691</v>
      </c>
      <c r="R258" t="s">
        <v>702</v>
      </c>
      <c r="S258" t="s">
        <v>705</v>
      </c>
    </row>
    <row r="259" spans="1:19" x14ac:dyDescent="0.2">
      <c r="A259" t="s">
        <v>642</v>
      </c>
      <c r="B259">
        <v>1</v>
      </c>
      <c r="C259" t="s">
        <v>327</v>
      </c>
      <c r="D259" t="s">
        <v>696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J259" t="s">
        <v>678</v>
      </c>
      <c r="K259" t="s">
        <v>672</v>
      </c>
      <c r="M259" t="s">
        <v>691</v>
      </c>
      <c r="N259" t="s">
        <v>691</v>
      </c>
      <c r="O259" t="s">
        <v>690</v>
      </c>
      <c r="P259" t="s">
        <v>690</v>
      </c>
      <c r="R259" t="s">
        <v>702</v>
      </c>
      <c r="S259" t="s">
        <v>705</v>
      </c>
    </row>
    <row r="260" spans="1:19" x14ac:dyDescent="0.2">
      <c r="A260" t="s">
        <v>642</v>
      </c>
      <c r="B260">
        <v>2</v>
      </c>
      <c r="C260" t="s">
        <v>328</v>
      </c>
      <c r="D260" t="s">
        <v>696</v>
      </c>
      <c r="E260" s="3">
        <v>-13.9</v>
      </c>
      <c r="F260" s="3">
        <f>48.1-50.5</f>
        <v>-2.3999999999999986</v>
      </c>
      <c r="G260" s="3">
        <f t="shared" si="4"/>
        <v>-5.5</v>
      </c>
      <c r="J260" t="s">
        <v>678</v>
      </c>
      <c r="K260" t="s">
        <v>672</v>
      </c>
      <c r="M260" t="s">
        <v>691</v>
      </c>
      <c r="N260" t="s">
        <v>689</v>
      </c>
      <c r="O260" t="s">
        <v>689</v>
      </c>
      <c r="P260" t="s">
        <v>689</v>
      </c>
      <c r="R260" t="s">
        <v>702</v>
      </c>
      <c r="S260" t="s">
        <v>705</v>
      </c>
    </row>
    <row r="261" spans="1:19" x14ac:dyDescent="0.2">
      <c r="A261" t="s">
        <v>642</v>
      </c>
      <c r="B261">
        <v>3</v>
      </c>
      <c r="C261" t="s">
        <v>329</v>
      </c>
      <c r="D261" t="s">
        <v>697</v>
      </c>
      <c r="E261" s="3">
        <v>-4.3</v>
      </c>
      <c r="F261" s="3">
        <f>55-43.7</f>
        <v>11.299999999999997</v>
      </c>
      <c r="G261" s="3">
        <f t="shared" si="4"/>
        <v>4.1000000000000005</v>
      </c>
      <c r="J261" t="s">
        <v>678</v>
      </c>
      <c r="K261" t="s">
        <v>671</v>
      </c>
      <c r="M261" t="s">
        <v>692</v>
      </c>
      <c r="N261" t="s">
        <v>689</v>
      </c>
      <c r="O261" t="s">
        <v>690</v>
      </c>
      <c r="P261" t="s">
        <v>690</v>
      </c>
      <c r="R261" t="s">
        <v>702</v>
      </c>
      <c r="S261" t="s">
        <v>705</v>
      </c>
    </row>
    <row r="262" spans="1:19" x14ac:dyDescent="0.2">
      <c r="A262" t="s">
        <v>642</v>
      </c>
      <c r="B262">
        <v>4</v>
      </c>
      <c r="C262" t="s">
        <v>330</v>
      </c>
      <c r="D262" t="s">
        <v>697</v>
      </c>
      <c r="E262" s="3">
        <v>1.3</v>
      </c>
      <c r="F262" s="3">
        <f>56.6-42.1</f>
        <v>14.5</v>
      </c>
      <c r="G262" s="3">
        <f t="shared" si="4"/>
        <v>9.7000000000000011</v>
      </c>
      <c r="J262" t="s">
        <v>678</v>
      </c>
      <c r="K262" t="s">
        <v>671</v>
      </c>
      <c r="M262" t="s">
        <v>691</v>
      </c>
      <c r="N262" t="s">
        <v>689</v>
      </c>
      <c r="O262" t="s">
        <v>689</v>
      </c>
      <c r="P262" t="s">
        <v>689</v>
      </c>
      <c r="R262" t="s">
        <v>702</v>
      </c>
      <c r="S262" t="s">
        <v>705</v>
      </c>
    </row>
    <row r="263" spans="1:19" x14ac:dyDescent="0.2">
      <c r="A263" t="s">
        <v>642</v>
      </c>
      <c r="B263">
        <v>5</v>
      </c>
      <c r="C263" t="s">
        <v>331</v>
      </c>
      <c r="D263" t="s">
        <v>697</v>
      </c>
      <c r="E263" s="3">
        <v>42.2</v>
      </c>
      <c r="F263" s="3">
        <f>80.8-18.4</f>
        <v>62.4</v>
      </c>
      <c r="G263" s="3">
        <f t="shared" si="4"/>
        <v>50.6</v>
      </c>
      <c r="J263" t="s">
        <v>678</v>
      </c>
      <c r="K263" t="s">
        <v>670</v>
      </c>
      <c r="M263" t="s">
        <v>689</v>
      </c>
      <c r="N263" t="s">
        <v>690</v>
      </c>
      <c r="O263" t="s">
        <v>692</v>
      </c>
      <c r="P263" t="s">
        <v>689</v>
      </c>
      <c r="R263" t="s">
        <v>702</v>
      </c>
      <c r="S263" t="s">
        <v>705</v>
      </c>
    </row>
    <row r="264" spans="1:19" x14ac:dyDescent="0.2">
      <c r="A264" t="s">
        <v>642</v>
      </c>
      <c r="B264">
        <v>6</v>
      </c>
      <c r="C264" t="s">
        <v>332</v>
      </c>
      <c r="D264" t="s">
        <v>697</v>
      </c>
      <c r="E264" s="3">
        <v>6.4</v>
      </c>
      <c r="F264" s="3">
        <f>64.1-34.8</f>
        <v>29.299999999999997</v>
      </c>
      <c r="G264" s="3">
        <f t="shared" si="4"/>
        <v>14.8</v>
      </c>
      <c r="J264" t="s">
        <v>678</v>
      </c>
      <c r="K264" t="s">
        <v>670</v>
      </c>
      <c r="M264" t="s">
        <v>691</v>
      </c>
      <c r="N264" t="s">
        <v>690</v>
      </c>
      <c r="O264" t="s">
        <v>690</v>
      </c>
      <c r="P264" t="s">
        <v>689</v>
      </c>
      <c r="R264" t="s">
        <v>702</v>
      </c>
      <c r="S264" t="s">
        <v>705</v>
      </c>
    </row>
    <row r="265" spans="1:19" x14ac:dyDescent="0.2">
      <c r="A265" t="s">
        <v>642</v>
      </c>
      <c r="B265">
        <v>7</v>
      </c>
      <c r="C265" t="s">
        <v>333</v>
      </c>
      <c r="D265" t="s">
        <v>697</v>
      </c>
      <c r="E265" s="3">
        <v>45.9</v>
      </c>
      <c r="F265" s="3">
        <f>79.4-19.3</f>
        <v>60.100000000000009</v>
      </c>
      <c r="G265" s="3">
        <f t="shared" si="4"/>
        <v>54.3</v>
      </c>
      <c r="J265" t="s">
        <v>678</v>
      </c>
      <c r="K265" t="s">
        <v>670</v>
      </c>
      <c r="M265" t="s">
        <v>691</v>
      </c>
      <c r="N265" t="s">
        <v>690</v>
      </c>
      <c r="O265" t="s">
        <v>689</v>
      </c>
      <c r="P265" t="s">
        <v>691</v>
      </c>
      <c r="R265" t="s">
        <v>702</v>
      </c>
      <c r="S265" t="s">
        <v>705</v>
      </c>
    </row>
    <row r="266" spans="1:19" x14ac:dyDescent="0.2">
      <c r="A266" t="s">
        <v>642</v>
      </c>
      <c r="B266">
        <v>8</v>
      </c>
      <c r="C266" t="s">
        <v>334</v>
      </c>
      <c r="D266" t="s">
        <v>697</v>
      </c>
      <c r="E266" s="3">
        <v>44</v>
      </c>
      <c r="F266" s="3">
        <f>77.2-21.8</f>
        <v>55.400000000000006</v>
      </c>
      <c r="G266" s="3">
        <f t="shared" si="4"/>
        <v>52.4</v>
      </c>
      <c r="J266" t="s">
        <v>678</v>
      </c>
      <c r="K266" t="s">
        <v>670</v>
      </c>
      <c r="M266" t="s">
        <v>689</v>
      </c>
      <c r="N266" t="s">
        <v>690</v>
      </c>
      <c r="O266" t="s">
        <v>692</v>
      </c>
      <c r="P266" t="s">
        <v>689</v>
      </c>
      <c r="R266" t="s">
        <v>702</v>
      </c>
      <c r="S266" t="s">
        <v>705</v>
      </c>
    </row>
    <row r="267" spans="1:19" x14ac:dyDescent="0.2">
      <c r="A267" t="s">
        <v>642</v>
      </c>
      <c r="B267">
        <v>9</v>
      </c>
      <c r="C267" t="s">
        <v>335</v>
      </c>
      <c r="D267" t="s">
        <v>697</v>
      </c>
      <c r="E267" s="3">
        <v>40.6</v>
      </c>
      <c r="F267" s="3">
        <f>75.6-23.5</f>
        <v>52.099999999999994</v>
      </c>
      <c r="G267" s="3">
        <f t="shared" si="4"/>
        <v>49</v>
      </c>
      <c r="J267" t="s">
        <v>678</v>
      </c>
      <c r="K267" t="s">
        <v>670</v>
      </c>
      <c r="M267" t="s">
        <v>689</v>
      </c>
      <c r="N267" t="s">
        <v>690</v>
      </c>
      <c r="O267" t="s">
        <v>692</v>
      </c>
      <c r="P267" t="s">
        <v>690</v>
      </c>
      <c r="R267" t="s">
        <v>702</v>
      </c>
      <c r="S267" t="s">
        <v>705</v>
      </c>
    </row>
    <row r="268" spans="1:19" x14ac:dyDescent="0.2">
      <c r="A268" t="s">
        <v>642</v>
      </c>
      <c r="B268">
        <v>10</v>
      </c>
      <c r="C268" t="s">
        <v>336</v>
      </c>
      <c r="D268" t="s">
        <v>697</v>
      </c>
      <c r="E268" s="3">
        <v>60.4</v>
      </c>
      <c r="F268" s="3">
        <f>84.5-14.1</f>
        <v>70.400000000000006</v>
      </c>
      <c r="G268" s="3">
        <f t="shared" si="4"/>
        <v>68.8</v>
      </c>
      <c r="J268" t="s">
        <v>678</v>
      </c>
      <c r="K268" t="s">
        <v>670</v>
      </c>
      <c r="M268" t="s">
        <v>692</v>
      </c>
      <c r="N268" t="s">
        <v>689</v>
      </c>
      <c r="O268" t="s">
        <v>690</v>
      </c>
      <c r="P268" t="s">
        <v>689</v>
      </c>
      <c r="R268" t="s">
        <v>702</v>
      </c>
      <c r="S268" t="s">
        <v>705</v>
      </c>
    </row>
    <row r="269" spans="1:19" x14ac:dyDescent="0.2">
      <c r="A269" t="s">
        <v>642</v>
      </c>
      <c r="B269">
        <v>11</v>
      </c>
      <c r="C269" t="s">
        <v>337</v>
      </c>
      <c r="D269" t="s">
        <v>696</v>
      </c>
      <c r="E269" s="3">
        <v>-24.4</v>
      </c>
      <c r="F269" s="3">
        <f>45.6-53.2</f>
        <v>-7.6000000000000014</v>
      </c>
      <c r="G269" s="3">
        <f t="shared" si="4"/>
        <v>-16</v>
      </c>
      <c r="J269" t="s">
        <v>678</v>
      </c>
      <c r="K269" t="s">
        <v>671</v>
      </c>
      <c r="M269" t="s">
        <v>691</v>
      </c>
      <c r="N269" t="s">
        <v>689</v>
      </c>
      <c r="O269" t="s">
        <v>690</v>
      </c>
      <c r="P269" t="s">
        <v>689</v>
      </c>
      <c r="R269" t="s">
        <v>702</v>
      </c>
      <c r="S269" t="s">
        <v>705</v>
      </c>
    </row>
    <row r="270" spans="1:19" x14ac:dyDescent="0.2">
      <c r="A270" t="s">
        <v>642</v>
      </c>
      <c r="B270">
        <v>12</v>
      </c>
      <c r="C270" t="s">
        <v>338</v>
      </c>
      <c r="D270" t="s">
        <v>697</v>
      </c>
      <c r="E270" s="3">
        <v>63.6</v>
      </c>
      <c r="F270" s="3">
        <f>84.8-13.7</f>
        <v>71.099999999999994</v>
      </c>
      <c r="G270" s="3">
        <f t="shared" si="4"/>
        <v>72</v>
      </c>
      <c r="J270" t="s">
        <v>678</v>
      </c>
      <c r="K270" t="s">
        <v>670</v>
      </c>
      <c r="M270" t="s">
        <v>692</v>
      </c>
      <c r="N270" t="s">
        <v>691</v>
      </c>
      <c r="O270" t="s">
        <v>690</v>
      </c>
      <c r="P270" t="s">
        <v>690</v>
      </c>
      <c r="R270" t="s">
        <v>702</v>
      </c>
      <c r="S270" t="s">
        <v>705</v>
      </c>
    </row>
    <row r="271" spans="1:19" x14ac:dyDescent="0.2">
      <c r="A271" t="s">
        <v>642</v>
      </c>
      <c r="B271">
        <v>13</v>
      </c>
      <c r="C271" t="s">
        <v>339</v>
      </c>
      <c r="D271" t="s">
        <v>697</v>
      </c>
      <c r="E271" s="3">
        <v>59.3</v>
      </c>
      <c r="F271" s="3">
        <f>87.9-11</f>
        <v>76.900000000000006</v>
      </c>
      <c r="G271" s="3">
        <f t="shared" si="4"/>
        <v>67.7</v>
      </c>
      <c r="J271" t="s">
        <v>678</v>
      </c>
      <c r="K271" t="s">
        <v>670</v>
      </c>
      <c r="M271" t="s">
        <v>689</v>
      </c>
      <c r="N271" t="s">
        <v>690</v>
      </c>
      <c r="O271" t="s">
        <v>691</v>
      </c>
      <c r="P271" t="s">
        <v>692</v>
      </c>
      <c r="R271" t="s">
        <v>702</v>
      </c>
      <c r="S271" t="s">
        <v>705</v>
      </c>
    </row>
    <row r="272" spans="1:19" x14ac:dyDescent="0.2">
      <c r="A272" t="s">
        <v>642</v>
      </c>
      <c r="B272">
        <v>14</v>
      </c>
      <c r="C272" t="s">
        <v>340</v>
      </c>
      <c r="D272" t="s">
        <v>697</v>
      </c>
      <c r="E272" s="3">
        <v>31.8</v>
      </c>
      <c r="F272" s="3">
        <f>77-22</f>
        <v>55</v>
      </c>
      <c r="G272" s="3">
        <f t="shared" si="4"/>
        <v>40.200000000000003</v>
      </c>
      <c r="J272" t="s">
        <v>678</v>
      </c>
      <c r="K272" t="s">
        <v>670</v>
      </c>
      <c r="M272" t="s">
        <v>689</v>
      </c>
      <c r="N272" t="s">
        <v>690</v>
      </c>
      <c r="O272" t="s">
        <v>689</v>
      </c>
      <c r="P272" t="s">
        <v>692</v>
      </c>
      <c r="R272" t="s">
        <v>702</v>
      </c>
      <c r="S272" t="s">
        <v>705</v>
      </c>
    </row>
    <row r="273" spans="1:19" x14ac:dyDescent="0.2">
      <c r="A273" t="s">
        <v>642</v>
      </c>
      <c r="B273">
        <v>15</v>
      </c>
      <c r="C273" t="s">
        <v>341</v>
      </c>
      <c r="D273" t="s">
        <v>697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J273" t="s">
        <v>678</v>
      </c>
      <c r="K273" t="s">
        <v>670</v>
      </c>
      <c r="M273" t="s">
        <v>690</v>
      </c>
      <c r="N273" t="s">
        <v>690</v>
      </c>
      <c r="O273" t="s">
        <v>691</v>
      </c>
      <c r="P273" t="s">
        <v>692</v>
      </c>
      <c r="R273" t="s">
        <v>702</v>
      </c>
      <c r="S273" t="s">
        <v>705</v>
      </c>
    </row>
    <row r="274" spans="1:19" x14ac:dyDescent="0.2">
      <c r="A274" t="s">
        <v>642</v>
      </c>
      <c r="B274">
        <v>16</v>
      </c>
      <c r="C274" t="s">
        <v>342</v>
      </c>
      <c r="D274" t="s">
        <v>697</v>
      </c>
      <c r="E274" s="3">
        <v>33.1</v>
      </c>
      <c r="F274" s="3">
        <f>71.8-27.2</f>
        <v>44.599999999999994</v>
      </c>
      <c r="G274" s="3">
        <f t="shared" si="4"/>
        <v>41.5</v>
      </c>
      <c r="J274" t="s">
        <v>665</v>
      </c>
      <c r="K274" t="s">
        <v>671</v>
      </c>
      <c r="M274" t="s">
        <v>692</v>
      </c>
      <c r="N274" t="s">
        <v>690</v>
      </c>
      <c r="O274" t="s">
        <v>691</v>
      </c>
      <c r="P274" t="s">
        <v>689</v>
      </c>
      <c r="R274" t="s">
        <v>702</v>
      </c>
      <c r="S274" t="s">
        <v>705</v>
      </c>
    </row>
    <row r="275" spans="1:19" x14ac:dyDescent="0.2">
      <c r="A275" t="s">
        <v>642</v>
      </c>
      <c r="B275">
        <v>17</v>
      </c>
      <c r="C275" t="s">
        <v>343</v>
      </c>
      <c r="D275" t="s">
        <v>696</v>
      </c>
      <c r="E275" s="3">
        <v>0.6</v>
      </c>
      <c r="F275" s="3">
        <f>54.4-44.3</f>
        <v>10.100000000000001</v>
      </c>
      <c r="G275" s="3">
        <f t="shared" si="4"/>
        <v>9</v>
      </c>
      <c r="J275" t="s">
        <v>665</v>
      </c>
      <c r="K275" t="s">
        <v>671</v>
      </c>
      <c r="M275" t="s">
        <v>692</v>
      </c>
      <c r="N275" t="s">
        <v>691</v>
      </c>
      <c r="O275" t="s">
        <v>690</v>
      </c>
      <c r="P275" t="s">
        <v>689</v>
      </c>
      <c r="R275" t="s">
        <v>702</v>
      </c>
      <c r="S275" t="s">
        <v>705</v>
      </c>
    </row>
    <row r="276" spans="1:19" x14ac:dyDescent="0.2">
      <c r="A276" t="s">
        <v>642</v>
      </c>
      <c r="B276">
        <v>18</v>
      </c>
      <c r="C276" t="s">
        <v>344</v>
      </c>
      <c r="D276" t="s">
        <v>697</v>
      </c>
      <c r="E276" s="3">
        <v>3.3</v>
      </c>
      <c r="F276" s="3">
        <f>53.7-44.6</f>
        <v>9.1000000000000014</v>
      </c>
      <c r="G276" s="3">
        <f t="shared" si="4"/>
        <v>11.7</v>
      </c>
      <c r="J276" t="s">
        <v>665</v>
      </c>
      <c r="K276" t="s">
        <v>672</v>
      </c>
      <c r="M276" t="s">
        <v>689</v>
      </c>
      <c r="N276" t="s">
        <v>691</v>
      </c>
      <c r="O276" t="s">
        <v>690</v>
      </c>
      <c r="P276" t="s">
        <v>689</v>
      </c>
      <c r="R276" t="s">
        <v>702</v>
      </c>
      <c r="S276" t="s">
        <v>705</v>
      </c>
    </row>
    <row r="277" spans="1:19" x14ac:dyDescent="0.2">
      <c r="A277" t="s">
        <v>642</v>
      </c>
      <c r="B277">
        <v>19</v>
      </c>
      <c r="C277" t="s">
        <v>345</v>
      </c>
      <c r="D277" t="s">
        <v>697</v>
      </c>
      <c r="E277" s="3">
        <v>1.8</v>
      </c>
      <c r="F277" s="3">
        <f>51.1-46.7</f>
        <v>4.3999999999999986</v>
      </c>
      <c r="G277" s="3">
        <f t="shared" si="4"/>
        <v>10.200000000000001</v>
      </c>
      <c r="J277" t="s">
        <v>665</v>
      </c>
      <c r="K277" t="s">
        <v>672</v>
      </c>
      <c r="M277" t="s">
        <v>689</v>
      </c>
      <c r="N277" t="s">
        <v>692</v>
      </c>
      <c r="O277" t="s">
        <v>690</v>
      </c>
      <c r="P277" t="s">
        <v>690</v>
      </c>
      <c r="R277" t="s">
        <v>702</v>
      </c>
      <c r="S277" t="s">
        <v>705</v>
      </c>
    </row>
    <row r="278" spans="1:19" x14ac:dyDescent="0.2">
      <c r="A278" t="s">
        <v>642</v>
      </c>
      <c r="B278">
        <v>20</v>
      </c>
      <c r="C278" t="s">
        <v>346</v>
      </c>
      <c r="D278" t="s">
        <v>697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J278" t="s">
        <v>665</v>
      </c>
      <c r="K278" t="s">
        <v>670</v>
      </c>
      <c r="M278" t="s">
        <v>691</v>
      </c>
      <c r="N278" t="s">
        <v>691</v>
      </c>
      <c r="O278" t="s">
        <v>689</v>
      </c>
      <c r="P278" t="s">
        <v>690</v>
      </c>
      <c r="R278" t="s">
        <v>702</v>
      </c>
      <c r="S278" t="s">
        <v>705</v>
      </c>
    </row>
    <row r="279" spans="1:19" x14ac:dyDescent="0.2">
      <c r="A279" t="s">
        <v>642</v>
      </c>
      <c r="B279">
        <v>21</v>
      </c>
      <c r="C279" t="s">
        <v>347</v>
      </c>
      <c r="D279" t="s">
        <v>696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J279" t="s">
        <v>665</v>
      </c>
      <c r="K279" t="s">
        <v>673</v>
      </c>
      <c r="M279" t="s">
        <v>690</v>
      </c>
      <c r="N279" t="s">
        <v>692</v>
      </c>
      <c r="O279" t="s">
        <v>690</v>
      </c>
      <c r="P279" t="s">
        <v>690</v>
      </c>
      <c r="R279" t="s">
        <v>702</v>
      </c>
      <c r="S279" t="s">
        <v>705</v>
      </c>
    </row>
    <row r="280" spans="1:19" x14ac:dyDescent="0.2">
      <c r="A280" t="s">
        <v>642</v>
      </c>
      <c r="B280">
        <v>22</v>
      </c>
      <c r="C280" t="s">
        <v>348</v>
      </c>
      <c r="D280" t="s">
        <v>697</v>
      </c>
      <c r="E280" s="3">
        <v>7.7</v>
      </c>
      <c r="F280" s="3">
        <f>54.5-43.2</f>
        <v>11.299999999999997</v>
      </c>
      <c r="G280" s="3">
        <f t="shared" si="4"/>
        <v>16.100000000000001</v>
      </c>
      <c r="J280" t="s">
        <v>665</v>
      </c>
      <c r="K280" t="s">
        <v>674</v>
      </c>
      <c r="M280" t="s">
        <v>691</v>
      </c>
      <c r="N280" t="s">
        <v>692</v>
      </c>
      <c r="O280" t="s">
        <v>690</v>
      </c>
      <c r="P280" t="s">
        <v>690</v>
      </c>
      <c r="R280" t="s">
        <v>702</v>
      </c>
      <c r="S280" t="s">
        <v>705</v>
      </c>
    </row>
    <row r="281" spans="1:19" x14ac:dyDescent="0.2">
      <c r="A281" t="s">
        <v>642</v>
      </c>
      <c r="B281">
        <v>23</v>
      </c>
      <c r="C281" t="s">
        <v>349</v>
      </c>
      <c r="D281" t="s">
        <v>696</v>
      </c>
      <c r="E281" s="3">
        <v>-21</v>
      </c>
      <c r="F281" s="3">
        <f>39.9-58</f>
        <v>-18.100000000000001</v>
      </c>
      <c r="G281" s="3">
        <f t="shared" si="4"/>
        <v>-12.6</v>
      </c>
      <c r="J281" t="s">
        <v>665</v>
      </c>
      <c r="K281" t="s">
        <v>673</v>
      </c>
      <c r="M281" t="s">
        <v>689</v>
      </c>
      <c r="N281" t="s">
        <v>692</v>
      </c>
      <c r="O281" t="s">
        <v>690</v>
      </c>
      <c r="P281" t="s">
        <v>690</v>
      </c>
      <c r="R281" t="s">
        <v>702</v>
      </c>
      <c r="S281" t="s">
        <v>705</v>
      </c>
    </row>
    <row r="282" spans="1:19" x14ac:dyDescent="0.2">
      <c r="A282" t="s">
        <v>642</v>
      </c>
      <c r="B282">
        <v>24</v>
      </c>
      <c r="C282" t="s">
        <v>350</v>
      </c>
      <c r="D282" t="s">
        <v>696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J282" t="s">
        <v>665</v>
      </c>
      <c r="K282" t="s">
        <v>673</v>
      </c>
      <c r="M282" t="s">
        <v>690</v>
      </c>
      <c r="N282" t="s">
        <v>692</v>
      </c>
      <c r="O282" t="s">
        <v>690</v>
      </c>
      <c r="P282" t="s">
        <v>690</v>
      </c>
      <c r="R282" t="s">
        <v>702</v>
      </c>
      <c r="S282" t="s">
        <v>705</v>
      </c>
    </row>
    <row r="283" spans="1:19" x14ac:dyDescent="0.2">
      <c r="A283" t="s">
        <v>642</v>
      </c>
      <c r="B283">
        <v>25</v>
      </c>
      <c r="C283" t="s">
        <v>351</v>
      </c>
      <c r="D283" t="s">
        <v>697</v>
      </c>
      <c r="E283" s="3">
        <v>18.399999999999999</v>
      </c>
      <c r="F283" s="3">
        <f>59-38.5</f>
        <v>20.5</v>
      </c>
      <c r="G283" s="3">
        <f t="shared" si="4"/>
        <v>26.799999999999997</v>
      </c>
      <c r="J283" t="s">
        <v>665</v>
      </c>
      <c r="K283" t="s">
        <v>674</v>
      </c>
      <c r="M283" t="s">
        <v>691</v>
      </c>
      <c r="N283" t="s">
        <v>691</v>
      </c>
      <c r="O283" t="s">
        <v>689</v>
      </c>
      <c r="P283" t="s">
        <v>690</v>
      </c>
      <c r="R283" t="s">
        <v>702</v>
      </c>
      <c r="S283" t="s">
        <v>705</v>
      </c>
    </row>
    <row r="284" spans="1:19" x14ac:dyDescent="0.2">
      <c r="A284" t="s">
        <v>642</v>
      </c>
      <c r="B284">
        <v>26</v>
      </c>
      <c r="C284" t="s">
        <v>352</v>
      </c>
      <c r="D284" t="s">
        <v>697</v>
      </c>
      <c r="E284" s="3">
        <v>19.3</v>
      </c>
      <c r="F284" s="3">
        <f>61.6-36.5</f>
        <v>25.1</v>
      </c>
      <c r="G284" s="3">
        <f t="shared" si="4"/>
        <v>27.700000000000003</v>
      </c>
      <c r="J284" t="s">
        <v>665</v>
      </c>
      <c r="K284" t="s">
        <v>670</v>
      </c>
      <c r="M284" t="s">
        <v>691</v>
      </c>
      <c r="N284" t="s">
        <v>691</v>
      </c>
      <c r="O284" t="s">
        <v>689</v>
      </c>
      <c r="P284" t="s">
        <v>690</v>
      </c>
      <c r="R284" t="s">
        <v>702</v>
      </c>
      <c r="S284" t="s">
        <v>705</v>
      </c>
    </row>
    <row r="285" spans="1:19" x14ac:dyDescent="0.2">
      <c r="A285" t="s">
        <v>643</v>
      </c>
      <c r="B285">
        <v>1</v>
      </c>
      <c r="C285" t="s">
        <v>353</v>
      </c>
      <c r="D285" t="s">
        <v>697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353</v>
      </c>
      <c r="I285" s="4" t="s">
        <v>354</v>
      </c>
      <c r="J285" t="s">
        <v>678</v>
      </c>
      <c r="K285" t="s">
        <v>673</v>
      </c>
      <c r="M285" t="s">
        <v>690</v>
      </c>
      <c r="N285" t="s">
        <v>689</v>
      </c>
      <c r="O285" t="s">
        <v>691</v>
      </c>
      <c r="P285" t="s">
        <v>690</v>
      </c>
      <c r="R285" t="s">
        <v>702</v>
      </c>
      <c r="S285" t="s">
        <v>706</v>
      </c>
    </row>
    <row r="286" spans="1:19" x14ac:dyDescent="0.2">
      <c r="A286" t="s">
        <v>643</v>
      </c>
      <c r="B286">
        <v>2</v>
      </c>
      <c r="C286" t="s">
        <v>355</v>
      </c>
      <c r="D286" t="s">
        <v>697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355</v>
      </c>
      <c r="I286" s="4" t="s">
        <v>356</v>
      </c>
      <c r="J286" t="s">
        <v>678</v>
      </c>
      <c r="K286" t="s">
        <v>670</v>
      </c>
      <c r="M286" t="s">
        <v>692</v>
      </c>
      <c r="N286" t="s">
        <v>689</v>
      </c>
      <c r="O286" t="s">
        <v>689</v>
      </c>
      <c r="P286" t="s">
        <v>690</v>
      </c>
      <c r="R286" t="s">
        <v>702</v>
      </c>
      <c r="S286" t="s">
        <v>706</v>
      </c>
    </row>
    <row r="287" spans="1:19" x14ac:dyDescent="0.2">
      <c r="A287" t="s">
        <v>643</v>
      </c>
      <c r="B287">
        <v>3</v>
      </c>
      <c r="C287" t="s">
        <v>357</v>
      </c>
      <c r="D287" t="s">
        <v>696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358</v>
      </c>
      <c r="I287" t="s">
        <v>357</v>
      </c>
      <c r="J287" t="s">
        <v>678</v>
      </c>
      <c r="K287" t="s">
        <v>673</v>
      </c>
      <c r="M287" t="s">
        <v>690</v>
      </c>
      <c r="N287" t="s">
        <v>689</v>
      </c>
      <c r="O287" t="s">
        <v>691</v>
      </c>
      <c r="P287" t="s">
        <v>690</v>
      </c>
      <c r="R287" t="s">
        <v>702</v>
      </c>
      <c r="S287" t="s">
        <v>706</v>
      </c>
    </row>
    <row r="288" spans="1:19" x14ac:dyDescent="0.2">
      <c r="A288" t="s">
        <v>643</v>
      </c>
      <c r="B288">
        <v>4</v>
      </c>
      <c r="C288" t="s">
        <v>359</v>
      </c>
      <c r="D288" t="s">
        <v>697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359</v>
      </c>
      <c r="I288" s="4" t="s">
        <v>360</v>
      </c>
      <c r="J288" t="s">
        <v>678</v>
      </c>
      <c r="K288" t="s">
        <v>670</v>
      </c>
      <c r="M288" t="s">
        <v>692</v>
      </c>
      <c r="N288" t="s">
        <v>689</v>
      </c>
      <c r="O288" t="s">
        <v>689</v>
      </c>
      <c r="P288" t="s">
        <v>690</v>
      </c>
      <c r="R288" t="s">
        <v>702</v>
      </c>
      <c r="S288" t="s">
        <v>706</v>
      </c>
    </row>
    <row r="289" spans="1:19" x14ac:dyDescent="0.2">
      <c r="A289" t="s">
        <v>643</v>
      </c>
      <c r="B289">
        <v>5</v>
      </c>
      <c r="C289" t="s">
        <v>361</v>
      </c>
      <c r="D289" t="s">
        <v>696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362</v>
      </c>
      <c r="I289" t="s">
        <v>361</v>
      </c>
      <c r="J289" t="s">
        <v>678</v>
      </c>
      <c r="K289" t="s">
        <v>673</v>
      </c>
      <c r="M289" t="s">
        <v>690</v>
      </c>
      <c r="N289" t="s">
        <v>691</v>
      </c>
      <c r="O289" t="s">
        <v>689</v>
      </c>
      <c r="P289" t="s">
        <v>690</v>
      </c>
      <c r="R289" t="s">
        <v>702</v>
      </c>
      <c r="S289" t="s">
        <v>706</v>
      </c>
    </row>
    <row r="290" spans="1:19" x14ac:dyDescent="0.2">
      <c r="A290" t="s">
        <v>643</v>
      </c>
      <c r="B290">
        <v>6</v>
      </c>
      <c r="C290" t="s">
        <v>363</v>
      </c>
      <c r="D290" t="s">
        <v>696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364</v>
      </c>
      <c r="I290" t="s">
        <v>363</v>
      </c>
      <c r="J290" t="s">
        <v>678</v>
      </c>
      <c r="K290" t="s">
        <v>673</v>
      </c>
      <c r="M290" t="s">
        <v>689</v>
      </c>
      <c r="N290" t="s">
        <v>691</v>
      </c>
      <c r="O290" t="s">
        <v>689</v>
      </c>
      <c r="P290" t="s">
        <v>690</v>
      </c>
      <c r="R290" t="s">
        <v>702</v>
      </c>
      <c r="S290" t="s">
        <v>706</v>
      </c>
    </row>
    <row r="291" spans="1:19" x14ac:dyDescent="0.2">
      <c r="A291" t="s">
        <v>643</v>
      </c>
      <c r="B291">
        <v>7</v>
      </c>
      <c r="C291" t="s">
        <v>365</v>
      </c>
      <c r="D291" t="s">
        <v>696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366</v>
      </c>
      <c r="I291" t="s">
        <v>367</v>
      </c>
      <c r="J291" t="s">
        <v>678</v>
      </c>
      <c r="K291" t="s">
        <v>673</v>
      </c>
      <c r="M291" t="s">
        <v>689</v>
      </c>
      <c r="N291" t="s">
        <v>691</v>
      </c>
      <c r="O291" t="s">
        <v>689</v>
      </c>
      <c r="P291" t="s">
        <v>690</v>
      </c>
      <c r="R291" t="s">
        <v>702</v>
      </c>
      <c r="S291" t="s">
        <v>706</v>
      </c>
    </row>
    <row r="292" spans="1:19" x14ac:dyDescent="0.2">
      <c r="A292" t="s">
        <v>643</v>
      </c>
      <c r="B292">
        <v>8</v>
      </c>
      <c r="C292" t="s">
        <v>368</v>
      </c>
      <c r="D292" t="s">
        <v>696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369</v>
      </c>
      <c r="I292" t="s">
        <v>368</v>
      </c>
      <c r="J292" t="s">
        <v>678</v>
      </c>
      <c r="K292" t="s">
        <v>673</v>
      </c>
      <c r="M292" t="s">
        <v>689</v>
      </c>
      <c r="N292" t="s">
        <v>691</v>
      </c>
      <c r="O292" t="s">
        <v>689</v>
      </c>
      <c r="P292" t="s">
        <v>690</v>
      </c>
      <c r="R292" t="s">
        <v>702</v>
      </c>
      <c r="S292" t="s">
        <v>706</v>
      </c>
    </row>
    <row r="293" spans="1:19" x14ac:dyDescent="0.2">
      <c r="A293" t="s">
        <v>643</v>
      </c>
      <c r="B293">
        <v>9</v>
      </c>
      <c r="C293" t="s">
        <v>370</v>
      </c>
      <c r="D293" t="s">
        <v>696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371</v>
      </c>
      <c r="I293" t="s">
        <v>370</v>
      </c>
      <c r="J293" t="s">
        <v>678</v>
      </c>
      <c r="K293" t="s">
        <v>673</v>
      </c>
      <c r="M293" t="s">
        <v>689</v>
      </c>
      <c r="N293" t="s">
        <v>691</v>
      </c>
      <c r="O293" t="s">
        <v>689</v>
      </c>
      <c r="P293" t="s">
        <v>690</v>
      </c>
      <c r="R293" t="s">
        <v>702</v>
      </c>
      <c r="S293" t="s">
        <v>706</v>
      </c>
    </row>
    <row r="294" spans="1:19" x14ac:dyDescent="0.2">
      <c r="A294" t="s">
        <v>643</v>
      </c>
      <c r="B294">
        <v>10</v>
      </c>
      <c r="C294" t="s">
        <v>372</v>
      </c>
      <c r="D294" t="s">
        <v>696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373</v>
      </c>
      <c r="I294" t="s">
        <v>372</v>
      </c>
      <c r="J294" t="s">
        <v>678</v>
      </c>
      <c r="K294" t="s">
        <v>673</v>
      </c>
      <c r="M294" t="s">
        <v>689</v>
      </c>
      <c r="N294" t="s">
        <v>691</v>
      </c>
      <c r="O294" t="s">
        <v>689</v>
      </c>
      <c r="P294" t="s">
        <v>690</v>
      </c>
      <c r="R294" t="s">
        <v>702</v>
      </c>
      <c r="S294" t="s">
        <v>706</v>
      </c>
    </row>
    <row r="295" spans="1:19" x14ac:dyDescent="0.2">
      <c r="A295" t="s">
        <v>643</v>
      </c>
      <c r="B295">
        <v>11</v>
      </c>
      <c r="C295" t="s">
        <v>374</v>
      </c>
      <c r="D295" t="s">
        <v>696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375</v>
      </c>
      <c r="I295" t="s">
        <v>376</v>
      </c>
      <c r="J295" t="s">
        <v>682</v>
      </c>
      <c r="K295" t="s">
        <v>673</v>
      </c>
      <c r="M295" t="s">
        <v>689</v>
      </c>
      <c r="N295" t="s">
        <v>692</v>
      </c>
      <c r="O295" t="s">
        <v>690</v>
      </c>
      <c r="P295" t="s">
        <v>690</v>
      </c>
      <c r="R295" t="s">
        <v>702</v>
      </c>
      <c r="S295" t="s">
        <v>706</v>
      </c>
    </row>
    <row r="296" spans="1:19" x14ac:dyDescent="0.2">
      <c r="A296" t="s">
        <v>643</v>
      </c>
      <c r="B296">
        <v>12</v>
      </c>
      <c r="C296" t="s">
        <v>377</v>
      </c>
      <c r="D296" t="s">
        <v>697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377</v>
      </c>
      <c r="I296" s="4" t="s">
        <v>378</v>
      </c>
      <c r="J296" t="s">
        <v>678</v>
      </c>
      <c r="K296" t="s">
        <v>670</v>
      </c>
      <c r="M296" t="s">
        <v>691</v>
      </c>
      <c r="N296" t="s">
        <v>690</v>
      </c>
      <c r="O296" t="s">
        <v>691</v>
      </c>
      <c r="P296" t="s">
        <v>689</v>
      </c>
      <c r="R296" t="s">
        <v>702</v>
      </c>
      <c r="S296" t="s">
        <v>706</v>
      </c>
    </row>
    <row r="297" spans="1:19" x14ac:dyDescent="0.2">
      <c r="A297" t="s">
        <v>643</v>
      </c>
      <c r="B297">
        <v>13</v>
      </c>
      <c r="C297" t="s">
        <v>379</v>
      </c>
      <c r="D297" t="s">
        <v>696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380</v>
      </c>
      <c r="I297" t="s">
        <v>379</v>
      </c>
      <c r="J297" t="s">
        <v>678</v>
      </c>
      <c r="K297" t="s">
        <v>673</v>
      </c>
      <c r="M297" t="s">
        <v>689</v>
      </c>
      <c r="N297" t="s">
        <v>691</v>
      </c>
      <c r="O297" t="s">
        <v>689</v>
      </c>
      <c r="P297" t="s">
        <v>690</v>
      </c>
      <c r="R297" t="s">
        <v>702</v>
      </c>
      <c r="S297" t="s">
        <v>706</v>
      </c>
    </row>
    <row r="298" spans="1:19" x14ac:dyDescent="0.2">
      <c r="A298" t="s">
        <v>643</v>
      </c>
      <c r="B298">
        <v>14</v>
      </c>
      <c r="C298" t="s">
        <v>381</v>
      </c>
      <c r="D298" t="s">
        <v>696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382</v>
      </c>
      <c r="I298" t="s">
        <v>381</v>
      </c>
      <c r="J298" t="s">
        <v>678</v>
      </c>
      <c r="K298" t="s">
        <v>673</v>
      </c>
      <c r="M298" t="s">
        <v>689</v>
      </c>
      <c r="N298" t="s">
        <v>691</v>
      </c>
      <c r="O298" t="s">
        <v>689</v>
      </c>
      <c r="P298" t="s">
        <v>690</v>
      </c>
      <c r="R298" t="s">
        <v>702</v>
      </c>
      <c r="S298" t="s">
        <v>706</v>
      </c>
    </row>
    <row r="299" spans="1:19" x14ac:dyDescent="0.2">
      <c r="A299" t="s">
        <v>644</v>
      </c>
      <c r="B299" s="5" t="s">
        <v>17</v>
      </c>
      <c r="C299" t="s">
        <v>383</v>
      </c>
      <c r="D299" t="s">
        <v>696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J299" t="s">
        <v>681</v>
      </c>
      <c r="K299" t="s">
        <v>673</v>
      </c>
      <c r="M299" t="s">
        <v>689</v>
      </c>
      <c r="N299" t="s">
        <v>692</v>
      </c>
      <c r="O299" t="s">
        <v>690</v>
      </c>
      <c r="P299" t="s">
        <v>690</v>
      </c>
      <c r="R299" t="s">
        <v>702</v>
      </c>
      <c r="S299" t="s">
        <v>705</v>
      </c>
    </row>
    <row r="300" spans="1:19" x14ac:dyDescent="0.2">
      <c r="A300" t="s">
        <v>645</v>
      </c>
      <c r="B300">
        <v>1</v>
      </c>
      <c r="C300" t="s">
        <v>384</v>
      </c>
      <c r="D300" t="s">
        <v>697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384</v>
      </c>
      <c r="I300" s="4" t="s">
        <v>385</v>
      </c>
      <c r="J300" t="s">
        <v>666</v>
      </c>
      <c r="K300" t="s">
        <v>671</v>
      </c>
      <c r="M300" t="s">
        <v>691</v>
      </c>
      <c r="N300" t="s">
        <v>691</v>
      </c>
      <c r="O300" t="s">
        <v>689</v>
      </c>
      <c r="P300" t="s">
        <v>690</v>
      </c>
      <c r="R300" t="s">
        <v>702</v>
      </c>
      <c r="S300" t="s">
        <v>706</v>
      </c>
    </row>
    <row r="301" spans="1:19" x14ac:dyDescent="0.2">
      <c r="A301" t="s">
        <v>645</v>
      </c>
      <c r="B301">
        <v>2</v>
      </c>
      <c r="C301" t="s">
        <v>386</v>
      </c>
      <c r="D301" t="s">
        <v>696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387</v>
      </c>
      <c r="I301" s="6" t="s">
        <v>386</v>
      </c>
      <c r="J301" t="s">
        <v>666</v>
      </c>
      <c r="K301" t="s">
        <v>673</v>
      </c>
      <c r="M301" t="s">
        <v>690</v>
      </c>
      <c r="N301" t="s">
        <v>692</v>
      </c>
      <c r="O301" t="s">
        <v>690</v>
      </c>
      <c r="P301" t="s">
        <v>690</v>
      </c>
      <c r="R301" t="s">
        <v>702</v>
      </c>
      <c r="S301" t="s">
        <v>706</v>
      </c>
    </row>
    <row r="302" spans="1:19" x14ac:dyDescent="0.2">
      <c r="A302" t="s">
        <v>645</v>
      </c>
      <c r="B302">
        <v>3</v>
      </c>
      <c r="C302" t="s">
        <v>388</v>
      </c>
      <c r="D302" t="s">
        <v>697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388</v>
      </c>
      <c r="I302" s="4" t="s">
        <v>389</v>
      </c>
      <c r="J302" t="s">
        <v>666</v>
      </c>
      <c r="K302" t="s">
        <v>670</v>
      </c>
      <c r="M302" t="s">
        <v>691</v>
      </c>
      <c r="N302" t="s">
        <v>689</v>
      </c>
      <c r="O302" t="s">
        <v>689</v>
      </c>
      <c r="P302" t="s">
        <v>690</v>
      </c>
      <c r="R302" t="s">
        <v>702</v>
      </c>
      <c r="S302" t="s">
        <v>706</v>
      </c>
    </row>
    <row r="303" spans="1:19" x14ac:dyDescent="0.2">
      <c r="A303" t="s">
        <v>645</v>
      </c>
      <c r="B303">
        <v>4</v>
      </c>
      <c r="C303" t="s">
        <v>390</v>
      </c>
      <c r="D303" t="s">
        <v>696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391</v>
      </c>
      <c r="I303" s="6" t="s">
        <v>390</v>
      </c>
      <c r="J303" t="s">
        <v>666</v>
      </c>
      <c r="K303" t="s">
        <v>673</v>
      </c>
      <c r="M303" t="s">
        <v>690</v>
      </c>
      <c r="N303" t="s">
        <v>692</v>
      </c>
      <c r="O303" t="s">
        <v>690</v>
      </c>
      <c r="P303" t="s">
        <v>690</v>
      </c>
      <c r="R303" t="s">
        <v>702</v>
      </c>
      <c r="S303" t="s">
        <v>706</v>
      </c>
    </row>
    <row r="304" spans="1:19" x14ac:dyDescent="0.2">
      <c r="A304" t="s">
        <v>645</v>
      </c>
      <c r="B304">
        <v>5</v>
      </c>
      <c r="C304" t="s">
        <v>392</v>
      </c>
      <c r="D304" t="s">
        <v>696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393</v>
      </c>
      <c r="I304" s="6" t="s">
        <v>392</v>
      </c>
      <c r="J304" t="s">
        <v>666</v>
      </c>
      <c r="K304" t="s">
        <v>673</v>
      </c>
      <c r="M304" t="s">
        <v>690</v>
      </c>
      <c r="N304" t="s">
        <v>692</v>
      </c>
      <c r="O304" t="s">
        <v>690</v>
      </c>
      <c r="P304" t="s">
        <v>690</v>
      </c>
      <c r="R304" t="s">
        <v>702</v>
      </c>
      <c r="S304" t="s">
        <v>706</v>
      </c>
    </row>
    <row r="305" spans="1:19" x14ac:dyDescent="0.2">
      <c r="A305" t="s">
        <v>645</v>
      </c>
      <c r="B305">
        <v>6</v>
      </c>
      <c r="C305" t="s">
        <v>394</v>
      </c>
      <c r="D305" t="s">
        <v>696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395</v>
      </c>
      <c r="I305" s="6" t="s">
        <v>394</v>
      </c>
      <c r="J305" t="s">
        <v>682</v>
      </c>
      <c r="K305" t="s">
        <v>673</v>
      </c>
      <c r="M305" t="s">
        <v>690</v>
      </c>
      <c r="N305" t="s">
        <v>692</v>
      </c>
      <c r="O305" t="s">
        <v>690</v>
      </c>
      <c r="P305" t="s">
        <v>690</v>
      </c>
      <c r="R305" t="s">
        <v>702</v>
      </c>
      <c r="S305" t="s">
        <v>706</v>
      </c>
    </row>
    <row r="306" spans="1:19" x14ac:dyDescent="0.2">
      <c r="A306" t="s">
        <v>645</v>
      </c>
      <c r="B306">
        <v>7</v>
      </c>
      <c r="C306" t="s">
        <v>396</v>
      </c>
      <c r="D306" t="s">
        <v>696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397</v>
      </c>
      <c r="I306" s="6" t="s">
        <v>396</v>
      </c>
      <c r="J306" t="s">
        <v>666</v>
      </c>
      <c r="K306" t="s">
        <v>674</v>
      </c>
      <c r="M306" t="s">
        <v>691</v>
      </c>
      <c r="N306" t="s">
        <v>692</v>
      </c>
      <c r="O306" t="s">
        <v>690</v>
      </c>
      <c r="P306" t="s">
        <v>690</v>
      </c>
      <c r="R306" t="s">
        <v>702</v>
      </c>
      <c r="S306" t="s">
        <v>706</v>
      </c>
    </row>
    <row r="307" spans="1:19" x14ac:dyDescent="0.2">
      <c r="A307" t="s">
        <v>645</v>
      </c>
      <c r="B307">
        <v>8</v>
      </c>
      <c r="C307" t="s">
        <v>398</v>
      </c>
      <c r="D307" t="s">
        <v>696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399</v>
      </c>
      <c r="I307" s="6" t="s">
        <v>398</v>
      </c>
      <c r="J307" t="s">
        <v>666</v>
      </c>
      <c r="K307" t="s">
        <v>673</v>
      </c>
      <c r="M307" t="s">
        <v>689</v>
      </c>
      <c r="N307" t="s">
        <v>692</v>
      </c>
      <c r="O307" t="s">
        <v>689</v>
      </c>
      <c r="P307" t="s">
        <v>690</v>
      </c>
      <c r="R307" t="s">
        <v>702</v>
      </c>
      <c r="S307" t="s">
        <v>706</v>
      </c>
    </row>
    <row r="308" spans="1:19" x14ac:dyDescent="0.2">
      <c r="A308" t="s">
        <v>645</v>
      </c>
      <c r="B308">
        <v>9</v>
      </c>
      <c r="C308" t="s">
        <v>400</v>
      </c>
      <c r="D308" t="s">
        <v>697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400</v>
      </c>
      <c r="I308" s="4" t="s">
        <v>401</v>
      </c>
      <c r="J308" t="s">
        <v>666</v>
      </c>
      <c r="K308" t="s">
        <v>674</v>
      </c>
      <c r="M308" t="s">
        <v>689</v>
      </c>
      <c r="N308" t="s">
        <v>692</v>
      </c>
      <c r="O308" t="s">
        <v>689</v>
      </c>
      <c r="P308" t="s">
        <v>690</v>
      </c>
      <c r="R308" t="s">
        <v>702</v>
      </c>
      <c r="S308" t="s">
        <v>706</v>
      </c>
    </row>
    <row r="309" spans="1:19" x14ac:dyDescent="0.2">
      <c r="A309" t="s">
        <v>645</v>
      </c>
      <c r="B309">
        <v>10</v>
      </c>
      <c r="C309" t="s">
        <v>402</v>
      </c>
      <c r="D309" t="s">
        <v>696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403</v>
      </c>
      <c r="I309" s="6" t="s">
        <v>402</v>
      </c>
      <c r="J309" t="s">
        <v>666</v>
      </c>
      <c r="K309" t="s">
        <v>671</v>
      </c>
      <c r="M309" t="s">
        <v>689</v>
      </c>
      <c r="N309" t="s">
        <v>691</v>
      </c>
      <c r="O309" t="s">
        <v>689</v>
      </c>
      <c r="P309" t="s">
        <v>690</v>
      </c>
      <c r="R309" t="s">
        <v>702</v>
      </c>
      <c r="S309" t="s">
        <v>706</v>
      </c>
    </row>
    <row r="310" spans="1:19" x14ac:dyDescent="0.2">
      <c r="A310" t="s">
        <v>645</v>
      </c>
      <c r="B310">
        <v>11</v>
      </c>
      <c r="C310" t="s">
        <v>404</v>
      </c>
      <c r="D310" t="s">
        <v>697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404</v>
      </c>
      <c r="I310" s="4" t="s">
        <v>405</v>
      </c>
      <c r="J310" t="s">
        <v>666</v>
      </c>
      <c r="K310" t="s">
        <v>670</v>
      </c>
      <c r="M310" t="s">
        <v>689</v>
      </c>
      <c r="N310" t="s">
        <v>690</v>
      </c>
      <c r="O310" t="s">
        <v>691</v>
      </c>
      <c r="P310" t="s">
        <v>690</v>
      </c>
      <c r="R310" t="s">
        <v>702</v>
      </c>
      <c r="S310" t="s">
        <v>706</v>
      </c>
    </row>
    <row r="311" spans="1:19" x14ac:dyDescent="0.2">
      <c r="A311" t="s">
        <v>645</v>
      </c>
      <c r="B311">
        <v>12</v>
      </c>
      <c r="C311" t="s">
        <v>406</v>
      </c>
      <c r="D311" t="s">
        <v>696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407</v>
      </c>
      <c r="I311" t="s">
        <v>406</v>
      </c>
      <c r="J311" t="s">
        <v>666</v>
      </c>
      <c r="K311" t="s">
        <v>672</v>
      </c>
      <c r="M311" t="s">
        <v>689</v>
      </c>
      <c r="N311" t="s">
        <v>692</v>
      </c>
      <c r="O311" t="s">
        <v>690</v>
      </c>
      <c r="P311" t="s">
        <v>690</v>
      </c>
      <c r="R311" t="s">
        <v>702</v>
      </c>
      <c r="S311" t="s">
        <v>706</v>
      </c>
    </row>
    <row r="312" spans="1:19" x14ac:dyDescent="0.2">
      <c r="A312" t="s">
        <v>645</v>
      </c>
      <c r="B312">
        <v>13</v>
      </c>
      <c r="C312" t="s">
        <v>408</v>
      </c>
      <c r="D312" t="s">
        <v>697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408</v>
      </c>
      <c r="I312" s="4" t="s">
        <v>409</v>
      </c>
      <c r="J312" t="s">
        <v>666</v>
      </c>
      <c r="K312" t="s">
        <v>674</v>
      </c>
      <c r="M312" t="s">
        <v>689</v>
      </c>
      <c r="N312" t="s">
        <v>692</v>
      </c>
      <c r="O312" t="s">
        <v>689</v>
      </c>
      <c r="P312" t="s">
        <v>690</v>
      </c>
      <c r="R312" t="s">
        <v>702</v>
      </c>
      <c r="S312" t="s">
        <v>706</v>
      </c>
    </row>
    <row r="313" spans="1:19" x14ac:dyDescent="0.2">
      <c r="A313" t="s">
        <v>645</v>
      </c>
      <c r="B313">
        <v>14</v>
      </c>
      <c r="C313" t="s">
        <v>410</v>
      </c>
      <c r="D313" t="s">
        <v>696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411</v>
      </c>
      <c r="I313" t="s">
        <v>410</v>
      </c>
      <c r="J313" t="s">
        <v>666</v>
      </c>
      <c r="K313" t="s">
        <v>674</v>
      </c>
      <c r="M313" t="s">
        <v>689</v>
      </c>
      <c r="N313" t="s">
        <v>692</v>
      </c>
      <c r="O313" t="s">
        <v>690</v>
      </c>
      <c r="P313" t="s">
        <v>690</v>
      </c>
      <c r="R313" t="s">
        <v>702</v>
      </c>
      <c r="S313" t="s">
        <v>706</v>
      </c>
    </row>
    <row r="314" spans="1:19" x14ac:dyDescent="0.2">
      <c r="A314" t="s">
        <v>645</v>
      </c>
      <c r="B314">
        <v>15</v>
      </c>
      <c r="C314" t="s">
        <v>412</v>
      </c>
      <c r="D314" t="s">
        <v>696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413</v>
      </c>
      <c r="I314" t="s">
        <v>412</v>
      </c>
      <c r="J314" t="s">
        <v>666</v>
      </c>
      <c r="K314" t="s">
        <v>672</v>
      </c>
      <c r="M314" t="s">
        <v>689</v>
      </c>
      <c r="N314" t="s">
        <v>692</v>
      </c>
      <c r="O314" t="s">
        <v>689</v>
      </c>
      <c r="P314" t="s">
        <v>690</v>
      </c>
      <c r="R314" t="s">
        <v>702</v>
      </c>
      <c r="S314" t="s">
        <v>706</v>
      </c>
    </row>
    <row r="315" spans="1:19" x14ac:dyDescent="0.2">
      <c r="A315" t="s">
        <v>646</v>
      </c>
      <c r="B315">
        <v>1</v>
      </c>
      <c r="C315" t="s">
        <v>414</v>
      </c>
      <c r="D315" t="s">
        <v>696</v>
      </c>
      <c r="E315" s="3">
        <v>-21.5</v>
      </c>
      <c r="F315" s="3">
        <f>38-59.4</f>
        <v>-21.4</v>
      </c>
      <c r="G315" s="3">
        <f t="shared" si="4"/>
        <v>-13.1</v>
      </c>
      <c r="J315" t="s">
        <v>681</v>
      </c>
      <c r="K315" t="s">
        <v>673</v>
      </c>
      <c r="M315" t="s">
        <v>689</v>
      </c>
      <c r="N315" t="s">
        <v>689</v>
      </c>
      <c r="O315" t="s">
        <v>689</v>
      </c>
      <c r="P315" t="s">
        <v>690</v>
      </c>
      <c r="R315" t="s">
        <v>702</v>
      </c>
      <c r="S315" t="s">
        <v>705</v>
      </c>
    </row>
    <row r="316" spans="1:19" x14ac:dyDescent="0.2">
      <c r="A316" t="s">
        <v>646</v>
      </c>
      <c r="B316">
        <v>2</v>
      </c>
      <c r="C316" t="s">
        <v>415</v>
      </c>
      <c r="D316" t="s">
        <v>696</v>
      </c>
      <c r="E316" s="3">
        <v>-55.6</v>
      </c>
      <c r="F316" s="3">
        <f>22.4-75.8</f>
        <v>-53.4</v>
      </c>
      <c r="G316" s="3">
        <f t="shared" si="4"/>
        <v>-47.2</v>
      </c>
      <c r="J316" t="s">
        <v>681</v>
      </c>
      <c r="K316" t="s">
        <v>673</v>
      </c>
      <c r="M316" t="s">
        <v>690</v>
      </c>
      <c r="N316" t="s">
        <v>691</v>
      </c>
      <c r="O316" t="s">
        <v>690</v>
      </c>
      <c r="P316" t="s">
        <v>690</v>
      </c>
      <c r="R316" t="s">
        <v>702</v>
      </c>
      <c r="S316" t="s">
        <v>705</v>
      </c>
    </row>
    <row r="317" spans="1:19" x14ac:dyDescent="0.2">
      <c r="A317" t="s">
        <v>646</v>
      </c>
      <c r="B317">
        <v>3</v>
      </c>
      <c r="C317" t="s">
        <v>416</v>
      </c>
      <c r="D317" t="s">
        <v>696</v>
      </c>
      <c r="E317" s="3">
        <v>-44.8</v>
      </c>
      <c r="F317" s="3">
        <f>27.5-70.3</f>
        <v>-42.8</v>
      </c>
      <c r="G317" s="3">
        <f t="shared" si="4"/>
        <v>-36.4</v>
      </c>
      <c r="J317" t="s">
        <v>681</v>
      </c>
      <c r="K317" t="s">
        <v>673</v>
      </c>
      <c r="M317" t="s">
        <v>690</v>
      </c>
      <c r="N317" t="s">
        <v>691</v>
      </c>
      <c r="O317" t="s">
        <v>690</v>
      </c>
      <c r="P317" t="s">
        <v>689</v>
      </c>
      <c r="R317" t="s">
        <v>702</v>
      </c>
      <c r="S317" t="s">
        <v>705</v>
      </c>
    </row>
    <row r="318" spans="1:19" x14ac:dyDescent="0.2">
      <c r="A318" t="s">
        <v>646</v>
      </c>
      <c r="B318">
        <v>4</v>
      </c>
      <c r="C318" t="s">
        <v>417</v>
      </c>
      <c r="D318" t="s">
        <v>696</v>
      </c>
      <c r="E318" s="3">
        <v>-32.9</v>
      </c>
      <c r="F318" s="3">
        <f>33.3-64.2</f>
        <v>-30.900000000000006</v>
      </c>
      <c r="G318" s="3">
        <f t="shared" si="4"/>
        <v>-24.5</v>
      </c>
      <c r="J318" t="s">
        <v>681</v>
      </c>
      <c r="K318" t="s">
        <v>673</v>
      </c>
      <c r="M318" t="s">
        <v>689</v>
      </c>
      <c r="N318" t="s">
        <v>691</v>
      </c>
      <c r="O318" t="s">
        <v>690</v>
      </c>
      <c r="P318" t="s">
        <v>690</v>
      </c>
      <c r="R318" t="s">
        <v>702</v>
      </c>
      <c r="S318" t="s">
        <v>705</v>
      </c>
    </row>
    <row r="319" spans="1:19" x14ac:dyDescent="0.2">
      <c r="A319" t="s">
        <v>646</v>
      </c>
      <c r="B319">
        <v>5</v>
      </c>
      <c r="C319" t="s">
        <v>418</v>
      </c>
      <c r="D319" t="s">
        <v>696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J319" t="s">
        <v>681</v>
      </c>
      <c r="K319" t="s">
        <v>674</v>
      </c>
      <c r="M319" t="s">
        <v>691</v>
      </c>
      <c r="N319" t="s">
        <v>691</v>
      </c>
      <c r="O319" t="s">
        <v>689</v>
      </c>
      <c r="P319" t="s">
        <v>690</v>
      </c>
      <c r="R319" t="s">
        <v>702</v>
      </c>
      <c r="S319" t="s">
        <v>705</v>
      </c>
    </row>
    <row r="320" spans="1:19" x14ac:dyDescent="0.2">
      <c r="A320" t="s">
        <v>647</v>
      </c>
      <c r="B320">
        <v>1</v>
      </c>
      <c r="C320" t="s">
        <v>419</v>
      </c>
      <c r="D320" t="s">
        <v>697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419</v>
      </c>
      <c r="I320" s="4" t="s">
        <v>420</v>
      </c>
      <c r="J320" t="s">
        <v>669</v>
      </c>
      <c r="K320" t="s">
        <v>671</v>
      </c>
      <c r="M320" t="s">
        <v>691</v>
      </c>
      <c r="N320" t="s">
        <v>691</v>
      </c>
      <c r="O320" t="s">
        <v>690</v>
      </c>
      <c r="P320" t="s">
        <v>690</v>
      </c>
      <c r="R320" t="s">
        <v>702</v>
      </c>
      <c r="S320" t="s">
        <v>706</v>
      </c>
    </row>
    <row r="321" spans="1:19" x14ac:dyDescent="0.2">
      <c r="A321" t="s">
        <v>647</v>
      </c>
      <c r="B321">
        <v>2</v>
      </c>
      <c r="C321" t="s">
        <v>421</v>
      </c>
      <c r="D321" t="s">
        <v>696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422</v>
      </c>
      <c r="I321" s="6" t="s">
        <v>421</v>
      </c>
      <c r="J321" t="s">
        <v>669</v>
      </c>
      <c r="K321" t="s">
        <v>673</v>
      </c>
      <c r="M321" t="s">
        <v>690</v>
      </c>
      <c r="N321" t="s">
        <v>692</v>
      </c>
      <c r="O321" t="s">
        <v>690</v>
      </c>
      <c r="P321" t="s">
        <v>690</v>
      </c>
      <c r="R321" t="s">
        <v>702</v>
      </c>
      <c r="S321" t="s">
        <v>706</v>
      </c>
    </row>
    <row r="322" spans="1:19" x14ac:dyDescent="0.2">
      <c r="A322" t="s">
        <v>647</v>
      </c>
      <c r="B322">
        <v>3</v>
      </c>
      <c r="C322" t="s">
        <v>423</v>
      </c>
      <c r="D322" t="s">
        <v>697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423</v>
      </c>
      <c r="I322" s="4" t="s">
        <v>424</v>
      </c>
      <c r="J322" t="s">
        <v>669</v>
      </c>
      <c r="K322" t="s">
        <v>670</v>
      </c>
      <c r="M322" t="s">
        <v>692</v>
      </c>
      <c r="N322" t="s">
        <v>691</v>
      </c>
      <c r="O322" t="s">
        <v>690</v>
      </c>
      <c r="P322" t="s">
        <v>690</v>
      </c>
      <c r="R322" t="s">
        <v>702</v>
      </c>
      <c r="S322" t="s">
        <v>706</v>
      </c>
    </row>
    <row r="323" spans="1:19" x14ac:dyDescent="0.2">
      <c r="A323" t="s">
        <v>647</v>
      </c>
      <c r="B323">
        <v>4</v>
      </c>
      <c r="C323" t="s">
        <v>425</v>
      </c>
      <c r="D323" t="s">
        <v>697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425</v>
      </c>
      <c r="I323" s="4" t="s">
        <v>426</v>
      </c>
      <c r="J323" t="s">
        <v>669</v>
      </c>
      <c r="K323" t="s">
        <v>674</v>
      </c>
      <c r="M323" t="s">
        <v>689</v>
      </c>
      <c r="N323" t="s">
        <v>692</v>
      </c>
      <c r="O323" t="s">
        <v>690</v>
      </c>
      <c r="P323" t="s">
        <v>690</v>
      </c>
      <c r="R323" t="s">
        <v>702</v>
      </c>
      <c r="S323" t="s">
        <v>706</v>
      </c>
    </row>
    <row r="324" spans="1:19" x14ac:dyDescent="0.2">
      <c r="A324" t="s">
        <v>647</v>
      </c>
      <c r="B324">
        <v>5</v>
      </c>
      <c r="C324" t="s">
        <v>427</v>
      </c>
      <c r="D324" t="s">
        <v>697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427</v>
      </c>
      <c r="I324" s="4" t="s">
        <v>428</v>
      </c>
      <c r="J324" t="s">
        <v>669</v>
      </c>
      <c r="K324" t="s">
        <v>674</v>
      </c>
      <c r="M324" t="s">
        <v>691</v>
      </c>
      <c r="N324" t="s">
        <v>692</v>
      </c>
      <c r="O324" t="s">
        <v>690</v>
      </c>
      <c r="P324" t="s">
        <v>690</v>
      </c>
      <c r="R324" t="s">
        <v>702</v>
      </c>
      <c r="S324" t="s">
        <v>706</v>
      </c>
    </row>
    <row r="325" spans="1:19" x14ac:dyDescent="0.2">
      <c r="A325" t="s">
        <v>647</v>
      </c>
      <c r="B325">
        <v>6</v>
      </c>
      <c r="C325" t="s">
        <v>429</v>
      </c>
      <c r="D325" t="s">
        <v>697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429</v>
      </c>
      <c r="I325" s="4" t="s">
        <v>430</v>
      </c>
      <c r="J325" t="s">
        <v>669</v>
      </c>
      <c r="K325" t="s">
        <v>674</v>
      </c>
      <c r="M325" t="s">
        <v>689</v>
      </c>
      <c r="N325" t="s">
        <v>691</v>
      </c>
      <c r="O325" t="s">
        <v>690</v>
      </c>
      <c r="P325" t="s">
        <v>689</v>
      </c>
      <c r="R325" t="s">
        <v>702</v>
      </c>
      <c r="S325" t="s">
        <v>706</v>
      </c>
    </row>
    <row r="326" spans="1:19" x14ac:dyDescent="0.2">
      <c r="A326" t="s">
        <v>648</v>
      </c>
      <c r="B326">
        <v>1</v>
      </c>
      <c r="C326" t="s">
        <v>431</v>
      </c>
      <c r="D326" t="s">
        <v>696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432</v>
      </c>
      <c r="I326" t="s">
        <v>431</v>
      </c>
      <c r="J326" t="s">
        <v>678</v>
      </c>
      <c r="K326" t="s">
        <v>671</v>
      </c>
      <c r="M326" t="s">
        <v>691</v>
      </c>
      <c r="N326" t="s">
        <v>692</v>
      </c>
      <c r="O326" t="s">
        <v>690</v>
      </c>
      <c r="P326" t="s">
        <v>690</v>
      </c>
      <c r="R326" t="s">
        <v>702</v>
      </c>
      <c r="S326" t="s">
        <v>706</v>
      </c>
    </row>
    <row r="327" spans="1:19" x14ac:dyDescent="0.2">
      <c r="A327" t="s">
        <v>648</v>
      </c>
      <c r="B327">
        <v>2</v>
      </c>
      <c r="C327" t="s">
        <v>433</v>
      </c>
      <c r="D327" t="s">
        <v>697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433</v>
      </c>
      <c r="I327" s="4" t="s">
        <v>434</v>
      </c>
      <c r="J327" t="s">
        <v>678</v>
      </c>
      <c r="K327" t="s">
        <v>670</v>
      </c>
      <c r="M327" t="s">
        <v>689</v>
      </c>
      <c r="N327" t="s">
        <v>690</v>
      </c>
      <c r="O327" t="s">
        <v>691</v>
      </c>
      <c r="P327" t="s">
        <v>689</v>
      </c>
      <c r="R327" t="s">
        <v>702</v>
      </c>
      <c r="S327" t="s">
        <v>706</v>
      </c>
    </row>
    <row r="328" spans="1:19" x14ac:dyDescent="0.2">
      <c r="A328" t="s">
        <v>648</v>
      </c>
      <c r="B328">
        <v>3</v>
      </c>
      <c r="C328" t="s">
        <v>435</v>
      </c>
      <c r="D328" t="s">
        <v>697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436</v>
      </c>
      <c r="I328" t="s">
        <v>437</v>
      </c>
      <c r="J328" t="s">
        <v>678</v>
      </c>
      <c r="K328" t="s">
        <v>670</v>
      </c>
      <c r="M328" t="s">
        <v>691</v>
      </c>
      <c r="N328" t="s">
        <v>690</v>
      </c>
      <c r="O328" t="s">
        <v>692</v>
      </c>
      <c r="P328" t="s">
        <v>690</v>
      </c>
      <c r="R328" t="s">
        <v>702</v>
      </c>
      <c r="S328" t="s">
        <v>706</v>
      </c>
    </row>
    <row r="329" spans="1:19" x14ac:dyDescent="0.2">
      <c r="A329" t="s">
        <v>648</v>
      </c>
      <c r="B329">
        <v>4</v>
      </c>
      <c r="C329" t="s">
        <v>438</v>
      </c>
      <c r="D329" t="s">
        <v>697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438</v>
      </c>
      <c r="I329" s="4" t="s">
        <v>439</v>
      </c>
      <c r="J329" t="s">
        <v>678</v>
      </c>
      <c r="K329" t="s">
        <v>671</v>
      </c>
      <c r="M329" t="s">
        <v>692</v>
      </c>
      <c r="N329" t="s">
        <v>692</v>
      </c>
      <c r="O329" t="s">
        <v>690</v>
      </c>
      <c r="P329" t="s">
        <v>690</v>
      </c>
      <c r="R329" t="s">
        <v>702</v>
      </c>
      <c r="S329" t="s">
        <v>706</v>
      </c>
    </row>
    <row r="330" spans="1:19" x14ac:dyDescent="0.2">
      <c r="A330" t="s">
        <v>648</v>
      </c>
      <c r="B330">
        <v>5</v>
      </c>
      <c r="C330" t="s">
        <v>440</v>
      </c>
      <c r="D330" t="s">
        <v>697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440</v>
      </c>
      <c r="I330" s="4" t="s">
        <v>441</v>
      </c>
      <c r="J330" t="s">
        <v>678</v>
      </c>
      <c r="K330" t="s">
        <v>671</v>
      </c>
      <c r="M330" t="s">
        <v>691</v>
      </c>
      <c r="N330" t="s">
        <v>691</v>
      </c>
      <c r="O330" t="s">
        <v>690</v>
      </c>
      <c r="P330" t="s">
        <v>690</v>
      </c>
      <c r="R330" t="s">
        <v>702</v>
      </c>
      <c r="S330" t="s">
        <v>706</v>
      </c>
    </row>
    <row r="331" spans="1:19" x14ac:dyDescent="0.2">
      <c r="A331" t="s">
        <v>648</v>
      </c>
      <c r="B331">
        <v>6</v>
      </c>
      <c r="C331" t="s">
        <v>442</v>
      </c>
      <c r="D331" t="s">
        <v>697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442</v>
      </c>
      <c r="I331" s="4" t="s">
        <v>443</v>
      </c>
      <c r="J331" t="s">
        <v>678</v>
      </c>
      <c r="K331" t="s">
        <v>671</v>
      </c>
      <c r="M331" t="s">
        <v>692</v>
      </c>
      <c r="N331" t="s">
        <v>691</v>
      </c>
      <c r="O331" t="s">
        <v>690</v>
      </c>
      <c r="P331" t="s">
        <v>690</v>
      </c>
      <c r="R331" t="s">
        <v>702</v>
      </c>
      <c r="S331" t="s">
        <v>706</v>
      </c>
    </row>
    <row r="332" spans="1:19" x14ac:dyDescent="0.2">
      <c r="A332" t="s">
        <v>648</v>
      </c>
      <c r="B332">
        <v>7</v>
      </c>
      <c r="C332" t="s">
        <v>444</v>
      </c>
      <c r="D332" t="s">
        <v>696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445</v>
      </c>
      <c r="I332" s="6" t="s">
        <v>444</v>
      </c>
      <c r="J332" t="s">
        <v>678</v>
      </c>
      <c r="K332" t="s">
        <v>671</v>
      </c>
      <c r="M332" t="s">
        <v>689</v>
      </c>
      <c r="N332" t="s">
        <v>691</v>
      </c>
      <c r="O332" t="s">
        <v>690</v>
      </c>
      <c r="P332" t="s">
        <v>689</v>
      </c>
      <c r="R332" t="s">
        <v>702</v>
      </c>
      <c r="S332" t="s">
        <v>706</v>
      </c>
    </row>
    <row r="333" spans="1:19" x14ac:dyDescent="0.2">
      <c r="A333" t="s">
        <v>648</v>
      </c>
      <c r="B333">
        <v>8</v>
      </c>
      <c r="C333" t="s">
        <v>446</v>
      </c>
      <c r="D333" t="s">
        <v>696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447</v>
      </c>
      <c r="I333" s="6" t="s">
        <v>446</v>
      </c>
      <c r="J333" t="s">
        <v>665</v>
      </c>
      <c r="K333" t="s">
        <v>674</v>
      </c>
      <c r="M333" t="s">
        <v>689</v>
      </c>
      <c r="N333" t="s">
        <v>692</v>
      </c>
      <c r="O333" t="s">
        <v>690</v>
      </c>
      <c r="P333" t="s">
        <v>690</v>
      </c>
      <c r="R333" t="s">
        <v>702</v>
      </c>
      <c r="S333" t="s">
        <v>706</v>
      </c>
    </row>
    <row r="334" spans="1:19" x14ac:dyDescent="0.2">
      <c r="A334" t="s">
        <v>648</v>
      </c>
      <c r="B334">
        <v>9</v>
      </c>
      <c r="C334" t="s">
        <v>448</v>
      </c>
      <c r="D334" t="s">
        <v>696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449</v>
      </c>
      <c r="I334" s="6" t="s">
        <v>448</v>
      </c>
      <c r="J334" t="s">
        <v>665</v>
      </c>
      <c r="K334" t="s">
        <v>673</v>
      </c>
      <c r="M334" t="s">
        <v>690</v>
      </c>
      <c r="N334" t="s">
        <v>692</v>
      </c>
      <c r="O334" t="s">
        <v>690</v>
      </c>
      <c r="P334" t="s">
        <v>690</v>
      </c>
      <c r="R334" t="s">
        <v>702</v>
      </c>
      <c r="S334" t="s">
        <v>706</v>
      </c>
    </row>
    <row r="335" spans="1:19" x14ac:dyDescent="0.2">
      <c r="A335" t="s">
        <v>648</v>
      </c>
      <c r="B335">
        <v>10</v>
      </c>
      <c r="C335" t="s">
        <v>450</v>
      </c>
      <c r="D335" t="s">
        <v>696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451</v>
      </c>
      <c r="I335" s="6" t="s">
        <v>450</v>
      </c>
      <c r="J335" t="s">
        <v>678</v>
      </c>
      <c r="K335" t="s">
        <v>674</v>
      </c>
      <c r="M335" t="s">
        <v>689</v>
      </c>
      <c r="N335" t="s">
        <v>691</v>
      </c>
      <c r="O335" t="s">
        <v>689</v>
      </c>
      <c r="P335" t="s">
        <v>690</v>
      </c>
      <c r="R335" t="s">
        <v>702</v>
      </c>
      <c r="S335" t="s">
        <v>706</v>
      </c>
    </row>
    <row r="336" spans="1:19" x14ac:dyDescent="0.2">
      <c r="A336" t="s">
        <v>648</v>
      </c>
      <c r="B336">
        <v>11</v>
      </c>
      <c r="C336" t="s">
        <v>452</v>
      </c>
      <c r="D336" t="s">
        <v>696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453</v>
      </c>
      <c r="I336" s="6" t="s">
        <v>452</v>
      </c>
      <c r="J336" t="s">
        <v>678</v>
      </c>
      <c r="K336" t="s">
        <v>674</v>
      </c>
      <c r="M336" t="s">
        <v>689</v>
      </c>
      <c r="N336" t="s">
        <v>692</v>
      </c>
      <c r="O336" t="s">
        <v>690</v>
      </c>
      <c r="P336" t="s">
        <v>690</v>
      </c>
      <c r="R336" t="s">
        <v>702</v>
      </c>
      <c r="S336" t="s">
        <v>706</v>
      </c>
    </row>
    <row r="337" spans="1:19" x14ac:dyDescent="0.2">
      <c r="A337" t="s">
        <v>648</v>
      </c>
      <c r="B337">
        <v>12</v>
      </c>
      <c r="C337" t="s">
        <v>454</v>
      </c>
      <c r="D337" t="s">
        <v>697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454</v>
      </c>
      <c r="I337" s="4" t="s">
        <v>455</v>
      </c>
      <c r="J337" t="s">
        <v>682</v>
      </c>
      <c r="K337" t="s">
        <v>670</v>
      </c>
      <c r="M337" t="s">
        <v>691</v>
      </c>
      <c r="N337" t="s">
        <v>691</v>
      </c>
      <c r="O337" t="s">
        <v>689</v>
      </c>
      <c r="P337" t="s">
        <v>690</v>
      </c>
      <c r="R337" t="s">
        <v>702</v>
      </c>
      <c r="S337" t="s">
        <v>706</v>
      </c>
    </row>
    <row r="338" spans="1:19" x14ac:dyDescent="0.2">
      <c r="A338" t="s">
        <v>648</v>
      </c>
      <c r="B338">
        <v>13</v>
      </c>
      <c r="C338" t="s">
        <v>456</v>
      </c>
      <c r="D338" t="s">
        <v>696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457</v>
      </c>
      <c r="I338" s="6" t="s">
        <v>456</v>
      </c>
      <c r="J338" t="s">
        <v>682</v>
      </c>
      <c r="K338" t="s">
        <v>673</v>
      </c>
      <c r="M338" t="s">
        <v>690</v>
      </c>
      <c r="N338" t="s">
        <v>692</v>
      </c>
      <c r="O338" t="s">
        <v>690</v>
      </c>
      <c r="P338" t="s">
        <v>690</v>
      </c>
      <c r="R338" t="s">
        <v>702</v>
      </c>
      <c r="S338" t="s">
        <v>706</v>
      </c>
    </row>
    <row r="339" spans="1:19" x14ac:dyDescent="0.2">
      <c r="A339" t="s">
        <v>648</v>
      </c>
      <c r="B339">
        <v>14</v>
      </c>
      <c r="C339" t="s">
        <v>458</v>
      </c>
      <c r="D339" t="s">
        <v>696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459</v>
      </c>
      <c r="I339" s="6" t="s">
        <v>458</v>
      </c>
      <c r="J339" t="s">
        <v>682</v>
      </c>
      <c r="K339" t="s">
        <v>673</v>
      </c>
      <c r="M339" t="s">
        <v>689</v>
      </c>
      <c r="N339" t="s">
        <v>692</v>
      </c>
      <c r="O339" t="s">
        <v>690</v>
      </c>
      <c r="P339" t="s">
        <v>690</v>
      </c>
      <c r="R339" t="s">
        <v>702</v>
      </c>
      <c r="S339" t="s">
        <v>706</v>
      </c>
    </row>
    <row r="340" spans="1:19" x14ac:dyDescent="0.2">
      <c r="A340" t="s">
        <v>648</v>
      </c>
      <c r="B340">
        <v>15</v>
      </c>
      <c r="C340" t="s">
        <v>460</v>
      </c>
      <c r="D340" t="s">
        <v>696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461</v>
      </c>
      <c r="I340" s="6" t="s">
        <v>460</v>
      </c>
      <c r="J340" t="s">
        <v>682</v>
      </c>
      <c r="K340" t="s">
        <v>673</v>
      </c>
      <c r="M340" t="s">
        <v>690</v>
      </c>
      <c r="N340" t="s">
        <v>692</v>
      </c>
      <c r="O340" t="s">
        <v>690</v>
      </c>
      <c r="P340" t="s">
        <v>690</v>
      </c>
      <c r="R340" t="s">
        <v>702</v>
      </c>
      <c r="S340" t="s">
        <v>706</v>
      </c>
    </row>
    <row r="341" spans="1:19" x14ac:dyDescent="0.2">
      <c r="A341" t="s">
        <v>648</v>
      </c>
      <c r="B341">
        <v>16</v>
      </c>
      <c r="C341" t="s">
        <v>462</v>
      </c>
      <c r="D341" t="s">
        <v>696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463</v>
      </c>
      <c r="I341" s="6" t="s">
        <v>462</v>
      </c>
      <c r="J341" t="s">
        <v>666</v>
      </c>
      <c r="K341" t="s">
        <v>673</v>
      </c>
      <c r="M341" t="s">
        <v>689</v>
      </c>
      <c r="N341" t="s">
        <v>692</v>
      </c>
      <c r="O341" t="s">
        <v>690</v>
      </c>
      <c r="P341" t="s">
        <v>690</v>
      </c>
      <c r="R341" t="s">
        <v>702</v>
      </c>
      <c r="S341" t="s">
        <v>706</v>
      </c>
    </row>
    <row r="342" spans="1:19" x14ac:dyDescent="0.2">
      <c r="A342" t="s">
        <v>648</v>
      </c>
      <c r="B342">
        <v>17</v>
      </c>
      <c r="C342" t="s">
        <v>464</v>
      </c>
      <c r="D342" t="s">
        <v>697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464</v>
      </c>
      <c r="I342" s="4" t="s">
        <v>465</v>
      </c>
      <c r="J342" t="s">
        <v>682</v>
      </c>
      <c r="K342" t="s">
        <v>674</v>
      </c>
      <c r="M342" t="s">
        <v>691</v>
      </c>
      <c r="N342" t="s">
        <v>692</v>
      </c>
      <c r="O342" t="s">
        <v>690</v>
      </c>
      <c r="P342" t="s">
        <v>690</v>
      </c>
      <c r="R342" t="s">
        <v>702</v>
      </c>
      <c r="S342" t="s">
        <v>706</v>
      </c>
    </row>
    <row r="343" spans="1:19" x14ac:dyDescent="0.2">
      <c r="A343" t="s">
        <v>649</v>
      </c>
      <c r="B343">
        <v>1</v>
      </c>
      <c r="C343" t="s">
        <v>466</v>
      </c>
      <c r="D343" t="s">
        <v>697</v>
      </c>
      <c r="E343" s="3">
        <v>22</v>
      </c>
      <c r="F343" s="3">
        <f>63.5-34.5</f>
        <v>29</v>
      </c>
      <c r="G343" s="3">
        <f t="shared" si="5"/>
        <v>30.4</v>
      </c>
      <c r="J343" t="s">
        <v>665</v>
      </c>
      <c r="K343" t="s">
        <v>674</v>
      </c>
      <c r="M343" t="s">
        <v>691</v>
      </c>
      <c r="N343" t="s">
        <v>691</v>
      </c>
      <c r="O343" t="s">
        <v>689</v>
      </c>
      <c r="P343" t="s">
        <v>689</v>
      </c>
      <c r="R343" t="s">
        <v>702</v>
      </c>
      <c r="S343" t="s">
        <v>705</v>
      </c>
    </row>
    <row r="344" spans="1:19" x14ac:dyDescent="0.2">
      <c r="A344" t="s">
        <v>649</v>
      </c>
      <c r="B344">
        <v>2</v>
      </c>
      <c r="C344" t="s">
        <v>467</v>
      </c>
      <c r="D344" t="s">
        <v>697</v>
      </c>
      <c r="E344" s="3">
        <v>6.7</v>
      </c>
      <c r="F344" s="3">
        <f>55.8-42.2</f>
        <v>13.599999999999994</v>
      </c>
      <c r="G344" s="3">
        <f t="shared" si="5"/>
        <v>15.100000000000001</v>
      </c>
      <c r="J344" t="s">
        <v>665</v>
      </c>
      <c r="K344" t="s">
        <v>674</v>
      </c>
      <c r="M344" t="s">
        <v>689</v>
      </c>
      <c r="N344" t="s">
        <v>692</v>
      </c>
      <c r="O344" t="s">
        <v>690</v>
      </c>
      <c r="P344" t="s">
        <v>690</v>
      </c>
      <c r="R344" t="s">
        <v>702</v>
      </c>
      <c r="S344" t="s">
        <v>705</v>
      </c>
    </row>
    <row r="345" spans="1:19" x14ac:dyDescent="0.2">
      <c r="A345" t="s">
        <v>650</v>
      </c>
      <c r="B345">
        <v>1</v>
      </c>
      <c r="C345" t="s">
        <v>468</v>
      </c>
      <c r="D345" t="s">
        <v>696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J345" t="s">
        <v>679</v>
      </c>
      <c r="K345" t="s">
        <v>671</v>
      </c>
      <c r="M345" t="s">
        <v>691</v>
      </c>
      <c r="N345" t="s">
        <v>691</v>
      </c>
      <c r="O345" t="s">
        <v>689</v>
      </c>
      <c r="P345" t="s">
        <v>690</v>
      </c>
      <c r="R345" t="s">
        <v>702</v>
      </c>
      <c r="S345" t="s">
        <v>705</v>
      </c>
    </row>
    <row r="346" spans="1:19" x14ac:dyDescent="0.2">
      <c r="A346" t="s">
        <v>650</v>
      </c>
      <c r="B346">
        <v>2</v>
      </c>
      <c r="C346" t="s">
        <v>469</v>
      </c>
      <c r="D346" t="s">
        <v>696</v>
      </c>
      <c r="E346" s="3">
        <v>-14</v>
      </c>
      <c r="F346" s="3">
        <f>43.9-54.5</f>
        <v>-10.600000000000001</v>
      </c>
      <c r="G346" s="3">
        <f t="shared" si="5"/>
        <v>-5.6</v>
      </c>
      <c r="J346" t="s">
        <v>679</v>
      </c>
      <c r="K346" t="s">
        <v>673</v>
      </c>
      <c r="M346" t="s">
        <v>689</v>
      </c>
      <c r="N346" t="s">
        <v>691</v>
      </c>
      <c r="O346" t="s">
        <v>691</v>
      </c>
      <c r="P346" t="s">
        <v>690</v>
      </c>
      <c r="R346" t="s">
        <v>702</v>
      </c>
      <c r="S346" t="s">
        <v>705</v>
      </c>
    </row>
    <row r="347" spans="1:19" x14ac:dyDescent="0.2">
      <c r="A347" t="s">
        <v>650</v>
      </c>
      <c r="B347">
        <v>3</v>
      </c>
      <c r="C347" t="s">
        <v>470</v>
      </c>
      <c r="D347" t="s">
        <v>696</v>
      </c>
      <c r="E347" s="3">
        <v>-43</v>
      </c>
      <c r="F347" s="3">
        <f>30.6-68</f>
        <v>-37.4</v>
      </c>
      <c r="G347" s="3">
        <f t="shared" si="5"/>
        <v>-34.6</v>
      </c>
      <c r="J347" t="s">
        <v>679</v>
      </c>
      <c r="K347" t="s">
        <v>673</v>
      </c>
      <c r="M347" t="s">
        <v>690</v>
      </c>
      <c r="N347" t="s">
        <v>691</v>
      </c>
      <c r="O347" t="s">
        <v>689</v>
      </c>
      <c r="P347" t="s">
        <v>690</v>
      </c>
      <c r="R347" t="s">
        <v>702</v>
      </c>
      <c r="S347" t="s">
        <v>705</v>
      </c>
    </row>
    <row r="348" spans="1:19" x14ac:dyDescent="0.2">
      <c r="A348" t="s">
        <v>650</v>
      </c>
      <c r="B348">
        <v>4</v>
      </c>
      <c r="C348" t="s">
        <v>471</v>
      </c>
      <c r="D348" t="s">
        <v>696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J348" t="s">
        <v>679</v>
      </c>
      <c r="K348" t="s">
        <v>673</v>
      </c>
      <c r="M348" t="s">
        <v>689</v>
      </c>
      <c r="N348" t="s">
        <v>691</v>
      </c>
      <c r="O348" t="s">
        <v>689</v>
      </c>
      <c r="P348" t="s">
        <v>690</v>
      </c>
      <c r="R348" t="s">
        <v>702</v>
      </c>
      <c r="S348" t="s">
        <v>705</v>
      </c>
    </row>
    <row r="349" spans="1:19" x14ac:dyDescent="0.2">
      <c r="A349" t="s">
        <v>650</v>
      </c>
      <c r="B349">
        <v>5</v>
      </c>
      <c r="C349" t="s">
        <v>472</v>
      </c>
      <c r="D349" t="s">
        <v>696</v>
      </c>
      <c r="E349" s="3">
        <v>-22.8</v>
      </c>
      <c r="F349" s="3">
        <f>40.2-58.4</f>
        <v>-18.199999999999996</v>
      </c>
      <c r="G349" s="3">
        <f t="shared" si="5"/>
        <v>-14.4</v>
      </c>
      <c r="J349" t="s">
        <v>679</v>
      </c>
      <c r="K349" t="s">
        <v>673</v>
      </c>
      <c r="M349" t="s">
        <v>689</v>
      </c>
      <c r="N349" t="s">
        <v>691</v>
      </c>
      <c r="O349" t="s">
        <v>689</v>
      </c>
      <c r="P349" t="s">
        <v>690</v>
      </c>
      <c r="R349" t="s">
        <v>702</v>
      </c>
      <c r="S349" t="s">
        <v>705</v>
      </c>
    </row>
    <row r="350" spans="1:19" x14ac:dyDescent="0.2">
      <c r="A350" t="s">
        <v>650</v>
      </c>
      <c r="B350">
        <v>6</v>
      </c>
      <c r="C350" t="s">
        <v>473</v>
      </c>
      <c r="D350" t="s">
        <v>697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J350" t="s">
        <v>679</v>
      </c>
      <c r="K350" t="s">
        <v>673</v>
      </c>
      <c r="M350" t="s">
        <v>689</v>
      </c>
      <c r="N350" t="s">
        <v>690</v>
      </c>
      <c r="O350" t="s">
        <v>692</v>
      </c>
      <c r="P350" t="s">
        <v>690</v>
      </c>
      <c r="R350" t="s">
        <v>702</v>
      </c>
      <c r="S350" t="s">
        <v>705</v>
      </c>
    </row>
    <row r="351" spans="1:19" x14ac:dyDescent="0.2">
      <c r="A351" t="s">
        <v>650</v>
      </c>
      <c r="B351">
        <v>7</v>
      </c>
      <c r="C351" t="s">
        <v>474</v>
      </c>
      <c r="D351" t="s">
        <v>696</v>
      </c>
      <c r="E351" s="3">
        <v>-26.4</v>
      </c>
      <c r="F351" s="3">
        <f>40.2-58.8</f>
        <v>-18.599999999999994</v>
      </c>
      <c r="G351" s="3">
        <f t="shared" si="5"/>
        <v>-18</v>
      </c>
      <c r="J351" t="s">
        <v>679</v>
      </c>
      <c r="K351" t="s">
        <v>673</v>
      </c>
      <c r="M351" t="s">
        <v>690</v>
      </c>
      <c r="N351" t="s">
        <v>691</v>
      </c>
      <c r="O351" t="s">
        <v>691</v>
      </c>
      <c r="P351" t="s">
        <v>690</v>
      </c>
      <c r="R351" t="s">
        <v>702</v>
      </c>
      <c r="S351" t="s">
        <v>705</v>
      </c>
    </row>
    <row r="352" spans="1:19" x14ac:dyDescent="0.2">
      <c r="A352" t="s">
        <v>651</v>
      </c>
      <c r="B352" s="5">
        <v>1</v>
      </c>
      <c r="C352" t="s">
        <v>475</v>
      </c>
      <c r="D352" t="s">
        <v>696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J352" t="s">
        <v>681</v>
      </c>
      <c r="K352" t="s">
        <v>673</v>
      </c>
      <c r="M352" t="s">
        <v>689</v>
      </c>
      <c r="N352" t="s">
        <v>692</v>
      </c>
      <c r="O352" t="s">
        <v>690</v>
      </c>
      <c r="P352" t="s">
        <v>690</v>
      </c>
      <c r="R352" t="s">
        <v>702</v>
      </c>
      <c r="S352" t="s">
        <v>705</v>
      </c>
    </row>
    <row r="353" spans="1:19" x14ac:dyDescent="0.2">
      <c r="A353" t="s">
        <v>652</v>
      </c>
      <c r="B353">
        <v>1</v>
      </c>
      <c r="C353" t="s">
        <v>476</v>
      </c>
      <c r="D353" t="s">
        <v>696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J353" t="s">
        <v>682</v>
      </c>
      <c r="K353" t="s">
        <v>673</v>
      </c>
      <c r="M353" t="s">
        <v>690</v>
      </c>
      <c r="N353" t="s">
        <v>692</v>
      </c>
      <c r="O353" t="s">
        <v>690</v>
      </c>
      <c r="P353" t="s">
        <v>690</v>
      </c>
      <c r="R353" t="s">
        <v>702</v>
      </c>
      <c r="S353" t="s">
        <v>705</v>
      </c>
    </row>
    <row r="354" spans="1:19" x14ac:dyDescent="0.2">
      <c r="A354" t="s">
        <v>652</v>
      </c>
      <c r="B354">
        <v>2</v>
      </c>
      <c r="C354" t="s">
        <v>477</v>
      </c>
      <c r="D354" t="s">
        <v>696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J354" t="s">
        <v>682</v>
      </c>
      <c r="K354" t="s">
        <v>673</v>
      </c>
      <c r="M354" t="s">
        <v>689</v>
      </c>
      <c r="N354" t="s">
        <v>692</v>
      </c>
      <c r="O354" t="s">
        <v>690</v>
      </c>
      <c r="P354" t="s">
        <v>690</v>
      </c>
      <c r="R354" t="s">
        <v>702</v>
      </c>
      <c r="S354" t="s">
        <v>705</v>
      </c>
    </row>
    <row r="355" spans="1:19" x14ac:dyDescent="0.2">
      <c r="A355" t="s">
        <v>652</v>
      </c>
      <c r="B355">
        <v>3</v>
      </c>
      <c r="C355" t="s">
        <v>478</v>
      </c>
      <c r="D355" t="s">
        <v>696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J355" t="s">
        <v>682</v>
      </c>
      <c r="K355" t="s">
        <v>673</v>
      </c>
      <c r="M355" t="s">
        <v>689</v>
      </c>
      <c r="N355" t="s">
        <v>692</v>
      </c>
      <c r="O355" t="s">
        <v>689</v>
      </c>
      <c r="P355" t="s">
        <v>690</v>
      </c>
      <c r="R355" t="s">
        <v>702</v>
      </c>
      <c r="S355" t="s">
        <v>705</v>
      </c>
    </row>
    <row r="356" spans="1:19" x14ac:dyDescent="0.2">
      <c r="A356" t="s">
        <v>652</v>
      </c>
      <c r="B356">
        <v>4</v>
      </c>
      <c r="C356" t="s">
        <v>479</v>
      </c>
      <c r="D356" t="s">
        <v>696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J356" t="s">
        <v>683</v>
      </c>
      <c r="K356" t="s">
        <v>673</v>
      </c>
      <c r="M356" t="s">
        <v>689</v>
      </c>
      <c r="N356" t="s">
        <v>691</v>
      </c>
      <c r="O356" t="s">
        <v>689</v>
      </c>
      <c r="P356" t="s">
        <v>690</v>
      </c>
      <c r="R356" t="s">
        <v>702</v>
      </c>
      <c r="S356" t="s">
        <v>705</v>
      </c>
    </row>
    <row r="357" spans="1:19" x14ac:dyDescent="0.2">
      <c r="A357" t="s">
        <v>652</v>
      </c>
      <c r="B357">
        <v>5</v>
      </c>
      <c r="C357" t="s">
        <v>480</v>
      </c>
      <c r="D357" t="s">
        <v>696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J357" t="s">
        <v>683</v>
      </c>
      <c r="K357" t="s">
        <v>674</v>
      </c>
      <c r="M357" t="s">
        <v>689</v>
      </c>
      <c r="N357" t="s">
        <v>691</v>
      </c>
      <c r="O357" t="s">
        <v>691</v>
      </c>
      <c r="P357" t="s">
        <v>690</v>
      </c>
      <c r="R357" t="s">
        <v>702</v>
      </c>
      <c r="S357" t="s">
        <v>705</v>
      </c>
    </row>
    <row r="358" spans="1:19" x14ac:dyDescent="0.2">
      <c r="A358" t="s">
        <v>652</v>
      </c>
      <c r="B358">
        <v>6</v>
      </c>
      <c r="C358" t="s">
        <v>481</v>
      </c>
      <c r="D358" t="s">
        <v>696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J358" t="s">
        <v>683</v>
      </c>
      <c r="K358" t="s">
        <v>674</v>
      </c>
      <c r="M358" t="s">
        <v>689</v>
      </c>
      <c r="N358" t="s">
        <v>692</v>
      </c>
      <c r="O358" t="s">
        <v>689</v>
      </c>
      <c r="P358" t="s">
        <v>690</v>
      </c>
      <c r="R358" t="s">
        <v>702</v>
      </c>
      <c r="S358" t="s">
        <v>705</v>
      </c>
    </row>
    <row r="359" spans="1:19" x14ac:dyDescent="0.2">
      <c r="A359" t="s">
        <v>652</v>
      </c>
      <c r="B359">
        <v>7</v>
      </c>
      <c r="C359" t="s">
        <v>482</v>
      </c>
      <c r="D359" t="s">
        <v>696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J359" t="s">
        <v>683</v>
      </c>
      <c r="K359" t="s">
        <v>674</v>
      </c>
      <c r="M359" t="s">
        <v>689</v>
      </c>
      <c r="N359" t="s">
        <v>691</v>
      </c>
      <c r="O359" t="s">
        <v>689</v>
      </c>
      <c r="P359" t="s">
        <v>690</v>
      </c>
      <c r="R359" t="s">
        <v>702</v>
      </c>
      <c r="S359" t="s">
        <v>705</v>
      </c>
    </row>
    <row r="360" spans="1:19" x14ac:dyDescent="0.2">
      <c r="A360" t="s">
        <v>652</v>
      </c>
      <c r="B360">
        <v>8</v>
      </c>
      <c r="C360" t="s">
        <v>483</v>
      </c>
      <c r="D360" t="s">
        <v>696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J360" t="s">
        <v>683</v>
      </c>
      <c r="K360" t="s">
        <v>674</v>
      </c>
      <c r="M360" t="s">
        <v>689</v>
      </c>
      <c r="N360" t="s">
        <v>691</v>
      </c>
      <c r="O360" t="s">
        <v>691</v>
      </c>
      <c r="P360" t="s">
        <v>690</v>
      </c>
      <c r="R360" t="s">
        <v>702</v>
      </c>
      <c r="S360" t="s">
        <v>705</v>
      </c>
    </row>
    <row r="361" spans="1:19" x14ac:dyDescent="0.2">
      <c r="A361" t="s">
        <v>652</v>
      </c>
      <c r="B361">
        <v>9</v>
      </c>
      <c r="C361" t="s">
        <v>484</v>
      </c>
      <c r="D361" t="s">
        <v>697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J361" t="s">
        <v>683</v>
      </c>
      <c r="K361" t="s">
        <v>674</v>
      </c>
      <c r="M361" t="s">
        <v>689</v>
      </c>
      <c r="N361" t="s">
        <v>689</v>
      </c>
      <c r="O361" t="s">
        <v>691</v>
      </c>
      <c r="P361" t="s">
        <v>690</v>
      </c>
      <c r="R361" t="s">
        <v>702</v>
      </c>
      <c r="S361" t="s">
        <v>705</v>
      </c>
    </row>
    <row r="362" spans="1:19" x14ac:dyDescent="0.2">
      <c r="A362" t="s">
        <v>653</v>
      </c>
      <c r="B362">
        <v>1</v>
      </c>
      <c r="C362" t="s">
        <v>485</v>
      </c>
      <c r="D362" t="s">
        <v>696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486</v>
      </c>
      <c r="I362" t="s">
        <v>485</v>
      </c>
      <c r="J362" t="s">
        <v>683</v>
      </c>
      <c r="K362" t="s">
        <v>673</v>
      </c>
      <c r="M362" t="s">
        <v>690</v>
      </c>
      <c r="N362" t="s">
        <v>691</v>
      </c>
      <c r="O362" t="s">
        <v>689</v>
      </c>
      <c r="P362" t="s">
        <v>690</v>
      </c>
      <c r="R362" t="s">
        <v>702</v>
      </c>
      <c r="S362" t="s">
        <v>706</v>
      </c>
    </row>
    <row r="363" spans="1:19" x14ac:dyDescent="0.2">
      <c r="A363" t="s">
        <v>653</v>
      </c>
      <c r="B363">
        <v>2</v>
      </c>
      <c r="C363" t="s">
        <v>487</v>
      </c>
      <c r="D363" t="s">
        <v>696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488</v>
      </c>
      <c r="I363" s="4" t="s">
        <v>489</v>
      </c>
      <c r="J363" t="s">
        <v>684</v>
      </c>
      <c r="K363" t="s">
        <v>674</v>
      </c>
      <c r="M363" t="s">
        <v>689</v>
      </c>
      <c r="N363" t="s">
        <v>689</v>
      </c>
      <c r="O363" t="s">
        <v>689</v>
      </c>
      <c r="P363" t="s">
        <v>689</v>
      </c>
      <c r="R363" t="s">
        <v>702</v>
      </c>
      <c r="S363" t="s">
        <v>706</v>
      </c>
    </row>
    <row r="364" spans="1:19" x14ac:dyDescent="0.2">
      <c r="A364" t="s">
        <v>653</v>
      </c>
      <c r="B364">
        <v>3</v>
      </c>
      <c r="C364" t="s">
        <v>490</v>
      </c>
      <c r="D364" t="s">
        <v>696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491</v>
      </c>
      <c r="I364" t="s">
        <v>490</v>
      </c>
      <c r="J364" t="s">
        <v>683</v>
      </c>
      <c r="K364" t="s">
        <v>673</v>
      </c>
      <c r="M364" t="s">
        <v>691</v>
      </c>
      <c r="N364" t="s">
        <v>689</v>
      </c>
      <c r="O364" t="s">
        <v>689</v>
      </c>
      <c r="P364" t="s">
        <v>689</v>
      </c>
      <c r="R364" t="s">
        <v>702</v>
      </c>
      <c r="S364" t="s">
        <v>706</v>
      </c>
    </row>
    <row r="365" spans="1:19" x14ac:dyDescent="0.2">
      <c r="A365" t="s">
        <v>653</v>
      </c>
      <c r="B365">
        <v>4</v>
      </c>
      <c r="C365" t="s">
        <v>492</v>
      </c>
      <c r="D365" t="s">
        <v>696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493</v>
      </c>
      <c r="I365" t="s">
        <v>492</v>
      </c>
      <c r="J365" t="s">
        <v>683</v>
      </c>
      <c r="K365" t="s">
        <v>673</v>
      </c>
      <c r="M365" t="s">
        <v>692</v>
      </c>
      <c r="N365" t="s">
        <v>689</v>
      </c>
      <c r="O365" t="s">
        <v>690</v>
      </c>
      <c r="P365" t="s">
        <v>690</v>
      </c>
      <c r="R365" t="s">
        <v>702</v>
      </c>
      <c r="S365" t="s">
        <v>706</v>
      </c>
    </row>
    <row r="366" spans="1:19" x14ac:dyDescent="0.2">
      <c r="A366" t="s">
        <v>653</v>
      </c>
      <c r="B366">
        <v>5</v>
      </c>
      <c r="C366" t="s">
        <v>494</v>
      </c>
      <c r="D366" t="s">
        <v>696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495</v>
      </c>
      <c r="I366" t="s">
        <v>494</v>
      </c>
      <c r="J366" t="s">
        <v>683</v>
      </c>
      <c r="K366" t="s">
        <v>673</v>
      </c>
      <c r="M366" t="s">
        <v>690</v>
      </c>
      <c r="N366" t="s">
        <v>689</v>
      </c>
      <c r="O366" t="s">
        <v>689</v>
      </c>
      <c r="P366" t="s">
        <v>689</v>
      </c>
      <c r="R366" t="s">
        <v>702</v>
      </c>
      <c r="S366" t="s">
        <v>706</v>
      </c>
    </row>
    <row r="367" spans="1:19" x14ac:dyDescent="0.2">
      <c r="A367" t="s">
        <v>653</v>
      </c>
      <c r="B367">
        <v>6</v>
      </c>
      <c r="C367" t="s">
        <v>496</v>
      </c>
      <c r="D367" t="s">
        <v>696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497</v>
      </c>
      <c r="I367" t="s">
        <v>496</v>
      </c>
      <c r="J367" t="s">
        <v>683</v>
      </c>
      <c r="K367" t="s">
        <v>673</v>
      </c>
      <c r="M367" t="s">
        <v>689</v>
      </c>
      <c r="N367" t="s">
        <v>689</v>
      </c>
      <c r="O367" t="s">
        <v>689</v>
      </c>
      <c r="P367" t="s">
        <v>689</v>
      </c>
      <c r="R367" t="s">
        <v>702</v>
      </c>
      <c r="S367" t="s">
        <v>706</v>
      </c>
    </row>
    <row r="368" spans="1:19" x14ac:dyDescent="0.2">
      <c r="A368" t="s">
        <v>653</v>
      </c>
      <c r="B368">
        <v>7</v>
      </c>
      <c r="C368" t="s">
        <v>498</v>
      </c>
      <c r="D368" t="s">
        <v>697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498</v>
      </c>
      <c r="I368" s="4" t="s">
        <v>499</v>
      </c>
      <c r="J368" t="s">
        <v>684</v>
      </c>
      <c r="K368" t="s">
        <v>671</v>
      </c>
      <c r="M368" t="s">
        <v>691</v>
      </c>
      <c r="N368" t="s">
        <v>690</v>
      </c>
      <c r="O368" t="s">
        <v>689</v>
      </c>
      <c r="P368" t="s">
        <v>691</v>
      </c>
      <c r="R368" t="s">
        <v>702</v>
      </c>
      <c r="S368" t="s">
        <v>706</v>
      </c>
    </row>
    <row r="369" spans="1:19" x14ac:dyDescent="0.2">
      <c r="A369" t="s">
        <v>653</v>
      </c>
      <c r="B369">
        <v>8</v>
      </c>
      <c r="C369" t="s">
        <v>500</v>
      </c>
      <c r="D369" t="s">
        <v>696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501</v>
      </c>
      <c r="I369" s="4" t="s">
        <v>502</v>
      </c>
      <c r="J369" t="s">
        <v>683</v>
      </c>
      <c r="K369" t="s">
        <v>673</v>
      </c>
      <c r="M369" t="s">
        <v>689</v>
      </c>
      <c r="N369" t="s">
        <v>690</v>
      </c>
      <c r="O369" t="s">
        <v>689</v>
      </c>
      <c r="P369" t="s">
        <v>691</v>
      </c>
      <c r="R369" t="s">
        <v>702</v>
      </c>
      <c r="S369" t="s">
        <v>706</v>
      </c>
    </row>
    <row r="370" spans="1:19" x14ac:dyDescent="0.2">
      <c r="A370" t="s">
        <v>653</v>
      </c>
      <c r="B370">
        <v>9</v>
      </c>
      <c r="C370" t="s">
        <v>322</v>
      </c>
      <c r="D370" t="s">
        <v>697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503</v>
      </c>
      <c r="I370" s="4" t="s">
        <v>504</v>
      </c>
      <c r="J370" t="s">
        <v>684</v>
      </c>
      <c r="K370" t="s">
        <v>674</v>
      </c>
      <c r="M370" t="s">
        <v>690</v>
      </c>
      <c r="N370" t="s">
        <v>690</v>
      </c>
      <c r="O370" t="s">
        <v>689</v>
      </c>
      <c r="P370" t="s">
        <v>692</v>
      </c>
      <c r="R370" t="s">
        <v>702</v>
      </c>
      <c r="S370" t="s">
        <v>706</v>
      </c>
    </row>
    <row r="371" spans="1:19" x14ac:dyDescent="0.2">
      <c r="A371" t="s">
        <v>653</v>
      </c>
      <c r="B371">
        <v>10</v>
      </c>
      <c r="C371" t="s">
        <v>505</v>
      </c>
      <c r="D371" t="s">
        <v>696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506</v>
      </c>
      <c r="I371" s="4" t="s">
        <v>507</v>
      </c>
      <c r="J371" t="s">
        <v>684</v>
      </c>
      <c r="K371" t="s">
        <v>674</v>
      </c>
      <c r="M371" t="s">
        <v>691</v>
      </c>
      <c r="N371" t="s">
        <v>689</v>
      </c>
      <c r="O371" t="s">
        <v>690</v>
      </c>
      <c r="P371" t="s">
        <v>689</v>
      </c>
      <c r="R371" t="s">
        <v>702</v>
      </c>
      <c r="S371" t="s">
        <v>706</v>
      </c>
    </row>
    <row r="372" spans="1:19" x14ac:dyDescent="0.2">
      <c r="A372" t="s">
        <v>653</v>
      </c>
      <c r="B372">
        <v>11</v>
      </c>
      <c r="C372" t="s">
        <v>508</v>
      </c>
      <c r="D372" t="s">
        <v>696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509</v>
      </c>
      <c r="I372" t="s">
        <v>510</v>
      </c>
      <c r="J372" t="s">
        <v>683</v>
      </c>
      <c r="K372" t="s">
        <v>674</v>
      </c>
      <c r="M372" t="s">
        <v>689</v>
      </c>
      <c r="N372" t="s">
        <v>689</v>
      </c>
      <c r="O372" t="s">
        <v>690</v>
      </c>
      <c r="P372" t="s">
        <v>691</v>
      </c>
      <c r="R372" t="s">
        <v>702</v>
      </c>
      <c r="S372" t="s">
        <v>706</v>
      </c>
    </row>
    <row r="373" spans="1:19" x14ac:dyDescent="0.2">
      <c r="A373" t="s">
        <v>653</v>
      </c>
      <c r="B373">
        <v>12</v>
      </c>
      <c r="C373" t="s">
        <v>511</v>
      </c>
      <c r="D373" t="s">
        <v>696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512</v>
      </c>
      <c r="I373" t="s">
        <v>511</v>
      </c>
      <c r="J373" t="s">
        <v>683</v>
      </c>
      <c r="K373" t="s">
        <v>673</v>
      </c>
      <c r="M373" t="s">
        <v>689</v>
      </c>
      <c r="N373" t="s">
        <v>689</v>
      </c>
      <c r="O373" t="s">
        <v>690</v>
      </c>
      <c r="P373" t="s">
        <v>689</v>
      </c>
      <c r="R373" t="s">
        <v>702</v>
      </c>
      <c r="S373" t="s">
        <v>706</v>
      </c>
    </row>
    <row r="374" spans="1:19" x14ac:dyDescent="0.2">
      <c r="A374" t="s">
        <v>653</v>
      </c>
      <c r="B374">
        <v>13</v>
      </c>
      <c r="C374" t="s">
        <v>513</v>
      </c>
      <c r="D374" t="s">
        <v>696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514</v>
      </c>
      <c r="I374" t="s">
        <v>513</v>
      </c>
      <c r="J374" t="s">
        <v>683</v>
      </c>
      <c r="K374" t="s">
        <v>673</v>
      </c>
      <c r="M374" t="s">
        <v>690</v>
      </c>
      <c r="N374" t="s">
        <v>689</v>
      </c>
      <c r="O374" t="s">
        <v>690</v>
      </c>
      <c r="P374" t="s">
        <v>689</v>
      </c>
      <c r="R374" t="s">
        <v>702</v>
      </c>
      <c r="S374" t="s">
        <v>706</v>
      </c>
    </row>
    <row r="375" spans="1:19" x14ac:dyDescent="0.2">
      <c r="A375" t="s">
        <v>653</v>
      </c>
      <c r="B375">
        <v>14</v>
      </c>
      <c r="C375" t="s">
        <v>515</v>
      </c>
      <c r="D375" t="s">
        <v>696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515</v>
      </c>
      <c r="J375" t="s">
        <v>683</v>
      </c>
      <c r="K375" t="s">
        <v>674</v>
      </c>
      <c r="M375" t="s">
        <v>689</v>
      </c>
      <c r="N375" t="s">
        <v>689</v>
      </c>
      <c r="O375" t="s">
        <v>689</v>
      </c>
      <c r="P375" t="s">
        <v>689</v>
      </c>
      <c r="R375" t="s">
        <v>702</v>
      </c>
      <c r="S375" t="s">
        <v>706</v>
      </c>
    </row>
    <row r="376" spans="1:19" x14ac:dyDescent="0.2">
      <c r="A376" t="s">
        <v>653</v>
      </c>
      <c r="B376">
        <v>15</v>
      </c>
      <c r="C376" t="s">
        <v>516</v>
      </c>
      <c r="D376" t="s">
        <v>696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517</v>
      </c>
      <c r="I376" t="s">
        <v>516</v>
      </c>
      <c r="J376" t="s">
        <v>677</v>
      </c>
      <c r="K376" t="s">
        <v>673</v>
      </c>
      <c r="M376" t="s">
        <v>690</v>
      </c>
      <c r="N376" t="s">
        <v>690</v>
      </c>
      <c r="O376" t="s">
        <v>690</v>
      </c>
      <c r="P376" t="s">
        <v>692</v>
      </c>
      <c r="R376" t="s">
        <v>702</v>
      </c>
      <c r="S376" t="s">
        <v>706</v>
      </c>
    </row>
    <row r="377" spans="1:19" x14ac:dyDescent="0.2">
      <c r="A377" t="s">
        <v>653</v>
      </c>
      <c r="B377">
        <v>16</v>
      </c>
      <c r="C377" t="s">
        <v>518</v>
      </c>
      <c r="D377" t="s">
        <v>697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518</v>
      </c>
      <c r="I377" s="4" t="s">
        <v>519</v>
      </c>
      <c r="J377" t="s">
        <v>677</v>
      </c>
      <c r="K377" t="s">
        <v>670</v>
      </c>
      <c r="M377" t="s">
        <v>690</v>
      </c>
      <c r="N377" t="s">
        <v>690</v>
      </c>
      <c r="O377" t="s">
        <v>690</v>
      </c>
      <c r="P377" t="s">
        <v>692</v>
      </c>
      <c r="R377" t="s">
        <v>702</v>
      </c>
      <c r="S377" t="s">
        <v>706</v>
      </c>
    </row>
    <row r="378" spans="1:19" x14ac:dyDescent="0.2">
      <c r="A378" t="s">
        <v>653</v>
      </c>
      <c r="B378">
        <v>17</v>
      </c>
      <c r="C378" t="s">
        <v>520</v>
      </c>
      <c r="D378" t="s">
        <v>696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521</v>
      </c>
      <c r="I378" t="s">
        <v>520</v>
      </c>
      <c r="J378" t="s">
        <v>683</v>
      </c>
      <c r="K378" t="s">
        <v>673</v>
      </c>
      <c r="M378" t="s">
        <v>689</v>
      </c>
      <c r="N378" t="s">
        <v>689</v>
      </c>
      <c r="O378" t="s">
        <v>689</v>
      </c>
      <c r="P378" t="s">
        <v>689</v>
      </c>
      <c r="R378" t="s">
        <v>702</v>
      </c>
      <c r="S378" t="s">
        <v>706</v>
      </c>
    </row>
    <row r="379" spans="1:19" x14ac:dyDescent="0.2">
      <c r="A379" t="s">
        <v>653</v>
      </c>
      <c r="B379">
        <v>18</v>
      </c>
      <c r="C379" t="s">
        <v>522</v>
      </c>
      <c r="D379" t="s">
        <v>697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523</v>
      </c>
      <c r="I379" s="4" t="s">
        <v>524</v>
      </c>
      <c r="J379" t="s">
        <v>684</v>
      </c>
      <c r="K379" t="s">
        <v>670</v>
      </c>
      <c r="M379" t="s">
        <v>689</v>
      </c>
      <c r="N379" t="s">
        <v>690</v>
      </c>
      <c r="O379" t="s">
        <v>691</v>
      </c>
      <c r="P379" t="s">
        <v>691</v>
      </c>
      <c r="R379" t="s">
        <v>702</v>
      </c>
      <c r="S379" t="s">
        <v>706</v>
      </c>
    </row>
    <row r="380" spans="1:19" x14ac:dyDescent="0.2">
      <c r="A380" t="s">
        <v>653</v>
      </c>
      <c r="B380">
        <v>19</v>
      </c>
      <c r="C380" t="s">
        <v>525</v>
      </c>
      <c r="D380" t="s">
        <v>696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526</v>
      </c>
      <c r="I380" s="4" t="s">
        <v>527</v>
      </c>
      <c r="J380" t="s">
        <v>683</v>
      </c>
      <c r="K380" t="s">
        <v>673</v>
      </c>
      <c r="M380" t="s">
        <v>690</v>
      </c>
      <c r="N380" t="s">
        <v>689</v>
      </c>
      <c r="O380" t="s">
        <v>690</v>
      </c>
      <c r="P380" t="s">
        <v>691</v>
      </c>
      <c r="R380" t="s">
        <v>702</v>
      </c>
      <c r="S380" t="s">
        <v>706</v>
      </c>
    </row>
    <row r="381" spans="1:19" x14ac:dyDescent="0.2">
      <c r="A381" t="s">
        <v>653</v>
      </c>
      <c r="B381">
        <v>20</v>
      </c>
      <c r="C381" t="s">
        <v>528</v>
      </c>
      <c r="D381" t="s">
        <v>697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528</v>
      </c>
      <c r="I381" s="4" t="s">
        <v>529</v>
      </c>
      <c r="J381" t="s">
        <v>684</v>
      </c>
      <c r="K381" t="s">
        <v>670</v>
      </c>
      <c r="M381" t="s">
        <v>690</v>
      </c>
      <c r="N381" t="s">
        <v>690</v>
      </c>
      <c r="O381" t="s">
        <v>689</v>
      </c>
      <c r="P381" t="s">
        <v>692</v>
      </c>
      <c r="R381" t="s">
        <v>702</v>
      </c>
      <c r="S381" t="s">
        <v>706</v>
      </c>
    </row>
    <row r="382" spans="1:19" x14ac:dyDescent="0.2">
      <c r="A382" t="s">
        <v>653</v>
      </c>
      <c r="B382">
        <v>21</v>
      </c>
      <c r="C382" t="s">
        <v>530</v>
      </c>
      <c r="D382" t="s">
        <v>696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531</v>
      </c>
      <c r="I382" s="4" t="s">
        <v>532</v>
      </c>
      <c r="J382" t="s">
        <v>684</v>
      </c>
      <c r="K382" t="s">
        <v>673</v>
      </c>
      <c r="M382" t="s">
        <v>691</v>
      </c>
      <c r="N382" t="s">
        <v>689</v>
      </c>
      <c r="O382" t="s">
        <v>690</v>
      </c>
      <c r="P382" t="s">
        <v>691</v>
      </c>
      <c r="R382" t="s">
        <v>702</v>
      </c>
      <c r="S382" t="s">
        <v>706</v>
      </c>
    </row>
    <row r="383" spans="1:19" x14ac:dyDescent="0.2">
      <c r="A383" t="s">
        <v>653</v>
      </c>
      <c r="B383">
        <v>22</v>
      </c>
      <c r="C383" t="s">
        <v>533</v>
      </c>
      <c r="D383" t="s">
        <v>696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534</v>
      </c>
      <c r="I383" s="4" t="s">
        <v>535</v>
      </c>
      <c r="J383" t="s">
        <v>684</v>
      </c>
      <c r="K383" t="s">
        <v>673</v>
      </c>
      <c r="M383" t="s">
        <v>691</v>
      </c>
      <c r="N383" t="s">
        <v>689</v>
      </c>
      <c r="O383" t="s">
        <v>689</v>
      </c>
      <c r="P383" t="s">
        <v>689</v>
      </c>
      <c r="R383" t="s">
        <v>702</v>
      </c>
      <c r="S383" t="s">
        <v>706</v>
      </c>
    </row>
    <row r="384" spans="1:19" x14ac:dyDescent="0.2">
      <c r="A384" t="s">
        <v>653</v>
      </c>
      <c r="B384">
        <v>23</v>
      </c>
      <c r="C384" t="s">
        <v>536</v>
      </c>
      <c r="D384" t="s">
        <v>696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537</v>
      </c>
      <c r="I384" s="4" t="s">
        <v>538</v>
      </c>
      <c r="J384" t="s">
        <v>677</v>
      </c>
      <c r="K384" t="s">
        <v>673</v>
      </c>
      <c r="M384" t="s">
        <v>689</v>
      </c>
      <c r="N384" t="s">
        <v>690</v>
      </c>
      <c r="O384" t="s">
        <v>690</v>
      </c>
      <c r="P384" t="s">
        <v>692</v>
      </c>
      <c r="R384" t="s">
        <v>702</v>
      </c>
      <c r="S384" t="s">
        <v>706</v>
      </c>
    </row>
    <row r="385" spans="1:19" x14ac:dyDescent="0.2">
      <c r="A385" t="s">
        <v>653</v>
      </c>
      <c r="B385">
        <v>24</v>
      </c>
      <c r="C385" t="s">
        <v>539</v>
      </c>
      <c r="D385" t="s">
        <v>696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540</v>
      </c>
      <c r="I385" t="s">
        <v>539</v>
      </c>
      <c r="J385" t="s">
        <v>684</v>
      </c>
      <c r="K385" t="s">
        <v>671</v>
      </c>
      <c r="M385" t="s">
        <v>692</v>
      </c>
      <c r="N385" t="s">
        <v>691</v>
      </c>
      <c r="O385" t="s">
        <v>690</v>
      </c>
      <c r="P385" t="s">
        <v>689</v>
      </c>
      <c r="R385" t="s">
        <v>702</v>
      </c>
      <c r="S385" t="s">
        <v>706</v>
      </c>
    </row>
    <row r="386" spans="1:19" x14ac:dyDescent="0.2">
      <c r="A386" t="s">
        <v>653</v>
      </c>
      <c r="B386">
        <v>25</v>
      </c>
      <c r="C386" t="s">
        <v>541</v>
      </c>
      <c r="D386" t="s">
        <v>696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542</v>
      </c>
      <c r="I386" t="s">
        <v>541</v>
      </c>
      <c r="J386" t="s">
        <v>684</v>
      </c>
      <c r="K386" t="s">
        <v>674</v>
      </c>
      <c r="M386" t="s">
        <v>689</v>
      </c>
      <c r="N386" t="s">
        <v>689</v>
      </c>
      <c r="O386" t="s">
        <v>689</v>
      </c>
      <c r="P386" t="s">
        <v>689</v>
      </c>
      <c r="R386" t="s">
        <v>702</v>
      </c>
      <c r="S386" t="s">
        <v>706</v>
      </c>
    </row>
    <row r="387" spans="1:19" x14ac:dyDescent="0.2">
      <c r="A387" t="s">
        <v>653</v>
      </c>
      <c r="B387">
        <v>26</v>
      </c>
      <c r="C387" t="s">
        <v>543</v>
      </c>
      <c r="D387" t="s">
        <v>696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544</v>
      </c>
      <c r="I387" t="s">
        <v>543</v>
      </c>
      <c r="J387" t="s">
        <v>684</v>
      </c>
      <c r="K387" t="s">
        <v>671</v>
      </c>
      <c r="M387" t="s">
        <v>691</v>
      </c>
      <c r="N387" t="s">
        <v>689</v>
      </c>
      <c r="O387" t="s">
        <v>689</v>
      </c>
      <c r="P387" t="s">
        <v>689</v>
      </c>
      <c r="R387" t="s">
        <v>702</v>
      </c>
      <c r="S387" t="s">
        <v>706</v>
      </c>
    </row>
    <row r="388" spans="1:19" x14ac:dyDescent="0.2">
      <c r="A388" t="s">
        <v>653</v>
      </c>
      <c r="B388">
        <v>27</v>
      </c>
      <c r="C388" t="s">
        <v>545</v>
      </c>
      <c r="D388" t="s">
        <v>696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546</v>
      </c>
      <c r="I388" t="s">
        <v>545</v>
      </c>
      <c r="J388" t="s">
        <v>684</v>
      </c>
      <c r="K388" t="s">
        <v>674</v>
      </c>
      <c r="M388" t="s">
        <v>689</v>
      </c>
      <c r="N388" t="s">
        <v>689</v>
      </c>
      <c r="O388" t="s">
        <v>690</v>
      </c>
      <c r="P388" t="s">
        <v>691</v>
      </c>
      <c r="R388" t="s">
        <v>702</v>
      </c>
      <c r="S388" t="s">
        <v>706</v>
      </c>
    </row>
    <row r="389" spans="1:19" x14ac:dyDescent="0.2">
      <c r="A389" t="s">
        <v>653</v>
      </c>
      <c r="B389">
        <v>28</v>
      </c>
      <c r="C389" t="s">
        <v>547</v>
      </c>
      <c r="D389" t="s">
        <v>697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547</v>
      </c>
      <c r="I389" s="4" t="s">
        <v>548</v>
      </c>
      <c r="J389" t="s">
        <v>677</v>
      </c>
      <c r="K389" t="s">
        <v>673</v>
      </c>
      <c r="M389" t="s">
        <v>690</v>
      </c>
      <c r="N389" t="s">
        <v>690</v>
      </c>
      <c r="O389" t="s">
        <v>690</v>
      </c>
      <c r="P389" t="s">
        <v>692</v>
      </c>
      <c r="R389" t="s">
        <v>702</v>
      </c>
      <c r="S389" t="s">
        <v>706</v>
      </c>
    </row>
    <row r="390" spans="1:19" x14ac:dyDescent="0.2">
      <c r="A390" t="s">
        <v>653</v>
      </c>
      <c r="B390">
        <v>29</v>
      </c>
      <c r="C390" t="s">
        <v>549</v>
      </c>
      <c r="D390" t="s">
        <v>697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549</v>
      </c>
      <c r="I390" s="4" t="s">
        <v>550</v>
      </c>
      <c r="J390" t="s">
        <v>684</v>
      </c>
      <c r="K390" t="s">
        <v>670</v>
      </c>
      <c r="M390" t="s">
        <v>690</v>
      </c>
      <c r="N390" t="s">
        <v>690</v>
      </c>
      <c r="O390" t="s">
        <v>691</v>
      </c>
      <c r="P390" t="s">
        <v>692</v>
      </c>
      <c r="R390" t="s">
        <v>702</v>
      </c>
      <c r="S390" t="s">
        <v>706</v>
      </c>
    </row>
    <row r="391" spans="1:19" x14ac:dyDescent="0.2">
      <c r="A391" t="s">
        <v>653</v>
      </c>
      <c r="B391">
        <v>30</v>
      </c>
      <c r="C391" t="s">
        <v>551</v>
      </c>
      <c r="D391" t="s">
        <v>697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552</v>
      </c>
      <c r="I391" s="4" t="s">
        <v>553</v>
      </c>
      <c r="J391" t="s">
        <v>684</v>
      </c>
      <c r="K391" t="s">
        <v>670</v>
      </c>
      <c r="M391" t="s">
        <v>690</v>
      </c>
      <c r="N391" t="s">
        <v>690</v>
      </c>
      <c r="O391" t="s">
        <v>692</v>
      </c>
      <c r="P391" t="s">
        <v>691</v>
      </c>
      <c r="R391" t="s">
        <v>702</v>
      </c>
      <c r="S391" t="s">
        <v>706</v>
      </c>
    </row>
    <row r="392" spans="1:19" x14ac:dyDescent="0.2">
      <c r="A392" t="s">
        <v>653</v>
      </c>
      <c r="B392">
        <v>31</v>
      </c>
      <c r="C392" t="s">
        <v>554</v>
      </c>
      <c r="D392" t="s">
        <v>696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555</v>
      </c>
      <c r="I392" t="s">
        <v>554</v>
      </c>
      <c r="J392" t="s">
        <v>684</v>
      </c>
      <c r="K392" t="s">
        <v>674</v>
      </c>
      <c r="M392" t="s">
        <v>689</v>
      </c>
      <c r="N392" t="s">
        <v>689</v>
      </c>
      <c r="O392" t="s">
        <v>689</v>
      </c>
      <c r="P392" t="s">
        <v>689</v>
      </c>
      <c r="R392" t="s">
        <v>702</v>
      </c>
      <c r="S392" t="s">
        <v>706</v>
      </c>
    </row>
    <row r="393" spans="1:19" x14ac:dyDescent="0.2">
      <c r="A393" t="s">
        <v>653</v>
      </c>
      <c r="B393">
        <v>32</v>
      </c>
      <c r="C393" t="s">
        <v>322</v>
      </c>
      <c r="D393" t="s">
        <v>697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556</v>
      </c>
      <c r="I393" s="4" t="s">
        <v>557</v>
      </c>
      <c r="J393" t="s">
        <v>684</v>
      </c>
      <c r="K393" t="s">
        <v>674</v>
      </c>
      <c r="M393" t="s">
        <v>691</v>
      </c>
      <c r="N393" t="s">
        <v>689</v>
      </c>
      <c r="O393" t="s">
        <v>689</v>
      </c>
      <c r="P393" t="s">
        <v>689</v>
      </c>
      <c r="R393" t="s">
        <v>702</v>
      </c>
      <c r="S393" t="s">
        <v>706</v>
      </c>
    </row>
    <row r="394" spans="1:19" x14ac:dyDescent="0.2">
      <c r="A394" t="s">
        <v>653</v>
      </c>
      <c r="B394">
        <v>33</v>
      </c>
      <c r="C394" t="s">
        <v>558</v>
      </c>
      <c r="D394" t="s">
        <v>697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559</v>
      </c>
      <c r="I394" s="4" t="s">
        <v>560</v>
      </c>
      <c r="J394" t="s">
        <v>684</v>
      </c>
      <c r="K394" t="s">
        <v>670</v>
      </c>
      <c r="M394" t="s">
        <v>689</v>
      </c>
      <c r="N394" t="s">
        <v>690</v>
      </c>
      <c r="O394" t="s">
        <v>689</v>
      </c>
      <c r="P394" t="s">
        <v>692</v>
      </c>
      <c r="R394" t="s">
        <v>702</v>
      </c>
      <c r="S394" t="s">
        <v>706</v>
      </c>
    </row>
    <row r="395" spans="1:19" x14ac:dyDescent="0.2">
      <c r="A395" t="s">
        <v>653</v>
      </c>
      <c r="B395">
        <v>34</v>
      </c>
      <c r="C395" t="s">
        <v>561</v>
      </c>
      <c r="D395" t="s">
        <v>697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561</v>
      </c>
      <c r="I395" s="4" t="s">
        <v>562</v>
      </c>
      <c r="J395" t="s">
        <v>677</v>
      </c>
      <c r="K395" t="s">
        <v>673</v>
      </c>
      <c r="M395" t="s">
        <v>690</v>
      </c>
      <c r="N395" t="s">
        <v>690</v>
      </c>
      <c r="O395" t="s">
        <v>690</v>
      </c>
      <c r="P395" t="s">
        <v>692</v>
      </c>
      <c r="R395" t="s">
        <v>702</v>
      </c>
      <c r="S395" t="s">
        <v>706</v>
      </c>
    </row>
    <row r="396" spans="1:19" x14ac:dyDescent="0.2">
      <c r="A396" t="s">
        <v>653</v>
      </c>
      <c r="B396">
        <v>35</v>
      </c>
      <c r="C396" t="s">
        <v>322</v>
      </c>
      <c r="D396" t="s">
        <v>697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563</v>
      </c>
      <c r="I396" s="4" t="s">
        <v>564</v>
      </c>
      <c r="J396" t="s">
        <v>684</v>
      </c>
      <c r="K396" t="s">
        <v>674</v>
      </c>
      <c r="M396" t="s">
        <v>690</v>
      </c>
      <c r="N396" t="s">
        <v>690</v>
      </c>
      <c r="O396" t="s">
        <v>690</v>
      </c>
      <c r="P396" t="s">
        <v>692</v>
      </c>
      <c r="R396" t="s">
        <v>702</v>
      </c>
      <c r="S396" t="s">
        <v>706</v>
      </c>
    </row>
    <row r="397" spans="1:19" x14ac:dyDescent="0.2">
      <c r="A397" t="s">
        <v>653</v>
      </c>
      <c r="B397">
        <v>36</v>
      </c>
      <c r="C397" t="s">
        <v>565</v>
      </c>
      <c r="D397" t="s">
        <v>696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566</v>
      </c>
      <c r="I397" t="s">
        <v>565</v>
      </c>
      <c r="J397" t="s">
        <v>684</v>
      </c>
      <c r="K397" t="s">
        <v>673</v>
      </c>
      <c r="M397" t="s">
        <v>689</v>
      </c>
      <c r="N397" t="s">
        <v>689</v>
      </c>
      <c r="O397" t="s">
        <v>689</v>
      </c>
      <c r="P397" t="s">
        <v>689</v>
      </c>
      <c r="R397" t="s">
        <v>702</v>
      </c>
      <c r="S397" t="s">
        <v>706</v>
      </c>
    </row>
    <row r="398" spans="1:19" x14ac:dyDescent="0.2">
      <c r="A398" t="s">
        <v>653</v>
      </c>
      <c r="B398">
        <v>37</v>
      </c>
      <c r="C398" t="s">
        <v>567</v>
      </c>
      <c r="D398" t="s">
        <v>697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567</v>
      </c>
      <c r="I398" s="4" t="s">
        <v>568</v>
      </c>
      <c r="J398" t="s">
        <v>684</v>
      </c>
      <c r="K398" t="s">
        <v>674</v>
      </c>
      <c r="M398" t="s">
        <v>692</v>
      </c>
      <c r="N398" t="s">
        <v>689</v>
      </c>
      <c r="O398" t="s">
        <v>690</v>
      </c>
      <c r="P398" t="s">
        <v>691</v>
      </c>
      <c r="R398" t="s">
        <v>702</v>
      </c>
      <c r="S398" t="s">
        <v>706</v>
      </c>
    </row>
    <row r="399" spans="1:19" x14ac:dyDescent="0.2">
      <c r="A399" t="s">
        <v>653</v>
      </c>
      <c r="B399">
        <v>38</v>
      </c>
      <c r="C399" t="s">
        <v>569</v>
      </c>
      <c r="D399" t="s">
        <v>696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570</v>
      </c>
      <c r="I399" s="4" t="s">
        <v>571</v>
      </c>
      <c r="J399" t="s">
        <v>684</v>
      </c>
      <c r="K399" t="s">
        <v>674</v>
      </c>
      <c r="M399" t="s">
        <v>692</v>
      </c>
      <c r="N399" t="s">
        <v>689</v>
      </c>
      <c r="O399" t="s">
        <v>689</v>
      </c>
      <c r="P399" t="s">
        <v>689</v>
      </c>
      <c r="R399" t="s">
        <v>702</v>
      </c>
      <c r="S399" t="s">
        <v>706</v>
      </c>
    </row>
    <row r="400" spans="1:19" x14ac:dyDescent="0.2">
      <c r="A400" t="s">
        <v>654</v>
      </c>
      <c r="B400">
        <v>1</v>
      </c>
      <c r="C400" t="s">
        <v>572</v>
      </c>
      <c r="D400" t="s">
        <v>696</v>
      </c>
      <c r="E400" s="3">
        <v>23.6</v>
      </c>
      <c r="F400" s="3">
        <f>60.4-35.8</f>
        <v>24.6</v>
      </c>
      <c r="G400" s="3">
        <f t="shared" si="6"/>
        <v>32</v>
      </c>
      <c r="J400" t="s">
        <v>668</v>
      </c>
      <c r="K400" t="s">
        <v>670</v>
      </c>
      <c r="M400" t="s">
        <v>689</v>
      </c>
      <c r="N400" t="s">
        <v>691</v>
      </c>
      <c r="O400" t="s">
        <v>690</v>
      </c>
      <c r="P400" t="s">
        <v>689</v>
      </c>
      <c r="R400" t="s">
        <v>702</v>
      </c>
      <c r="S400" t="s">
        <v>705</v>
      </c>
    </row>
    <row r="401" spans="1:19" x14ac:dyDescent="0.2">
      <c r="A401" t="s">
        <v>654</v>
      </c>
      <c r="B401">
        <v>2</v>
      </c>
      <c r="C401" t="s">
        <v>573</v>
      </c>
      <c r="D401" t="s">
        <v>696</v>
      </c>
      <c r="E401" s="3">
        <v>-28.9</v>
      </c>
      <c r="F401" s="3">
        <f>32.5-62.9</f>
        <v>-30.4</v>
      </c>
      <c r="G401" s="3">
        <f t="shared" si="6"/>
        <v>-20.5</v>
      </c>
      <c r="J401" t="s">
        <v>668</v>
      </c>
      <c r="K401" t="s">
        <v>673</v>
      </c>
      <c r="M401" t="s">
        <v>689</v>
      </c>
      <c r="N401" t="s">
        <v>692</v>
      </c>
      <c r="O401" t="s">
        <v>690</v>
      </c>
      <c r="P401" t="s">
        <v>690</v>
      </c>
      <c r="R401" t="s">
        <v>702</v>
      </c>
      <c r="S401" t="s">
        <v>705</v>
      </c>
    </row>
    <row r="402" spans="1:19" x14ac:dyDescent="0.2">
      <c r="A402" t="s">
        <v>654</v>
      </c>
      <c r="B402">
        <v>3</v>
      </c>
      <c r="C402" t="s">
        <v>574</v>
      </c>
      <c r="D402" t="s">
        <v>696</v>
      </c>
      <c r="E402" s="3">
        <v>-41.3</v>
      </c>
      <c r="F402" s="3">
        <f>27.7-68.4</f>
        <v>-40.700000000000003</v>
      </c>
      <c r="G402" s="3">
        <f t="shared" si="6"/>
        <v>-32.9</v>
      </c>
      <c r="J402" t="s">
        <v>668</v>
      </c>
      <c r="K402" t="s">
        <v>673</v>
      </c>
      <c r="M402" t="s">
        <v>689</v>
      </c>
      <c r="N402" t="s">
        <v>692</v>
      </c>
      <c r="O402" t="s">
        <v>690</v>
      </c>
      <c r="P402" t="s">
        <v>690</v>
      </c>
      <c r="R402" t="s">
        <v>702</v>
      </c>
      <c r="S402" t="s">
        <v>705</v>
      </c>
    </row>
    <row r="403" spans="1:19" x14ac:dyDescent="0.2">
      <c r="A403" t="s">
        <v>654</v>
      </c>
      <c r="B403">
        <v>4</v>
      </c>
      <c r="C403" t="s">
        <v>575</v>
      </c>
      <c r="D403" t="s">
        <v>696</v>
      </c>
      <c r="E403" s="3">
        <v>-32.4</v>
      </c>
      <c r="F403" s="3">
        <f>31.3-64.3</f>
        <v>-33</v>
      </c>
      <c r="G403" s="3">
        <f t="shared" si="6"/>
        <v>-24</v>
      </c>
      <c r="J403" t="s">
        <v>668</v>
      </c>
      <c r="K403" t="s">
        <v>673</v>
      </c>
      <c r="M403" t="s">
        <v>691</v>
      </c>
      <c r="N403" t="s">
        <v>692</v>
      </c>
      <c r="O403" t="s">
        <v>690</v>
      </c>
      <c r="P403" t="s">
        <v>690</v>
      </c>
      <c r="R403" t="s">
        <v>702</v>
      </c>
      <c r="S403" t="s">
        <v>705</v>
      </c>
    </row>
    <row r="404" spans="1:19" x14ac:dyDescent="0.2">
      <c r="A404" t="s">
        <v>655</v>
      </c>
      <c r="B404">
        <v>1</v>
      </c>
      <c r="C404" t="s">
        <v>576</v>
      </c>
      <c r="D404" t="s">
        <v>697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J404" t="s">
        <v>665</v>
      </c>
      <c r="K404" t="s">
        <v>673</v>
      </c>
      <c r="M404" t="s">
        <v>691</v>
      </c>
      <c r="N404" t="s">
        <v>692</v>
      </c>
      <c r="O404" t="s">
        <v>690</v>
      </c>
      <c r="P404" t="s">
        <v>690</v>
      </c>
      <c r="R404" t="s">
        <v>702</v>
      </c>
      <c r="S404" t="s">
        <v>705</v>
      </c>
    </row>
    <row r="405" spans="1:19" x14ac:dyDescent="0.2">
      <c r="A405" t="s">
        <v>656</v>
      </c>
      <c r="B405">
        <v>1</v>
      </c>
      <c r="C405" t="s">
        <v>577</v>
      </c>
      <c r="D405" t="s">
        <v>696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J405" t="s">
        <v>678</v>
      </c>
      <c r="K405" t="s">
        <v>672</v>
      </c>
      <c r="M405" t="s">
        <v>691</v>
      </c>
      <c r="N405" t="s">
        <v>691</v>
      </c>
      <c r="O405" t="s">
        <v>689</v>
      </c>
      <c r="P405" t="s">
        <v>690</v>
      </c>
      <c r="R405" t="s">
        <v>702</v>
      </c>
      <c r="S405" t="s">
        <v>705</v>
      </c>
    </row>
    <row r="406" spans="1:19" x14ac:dyDescent="0.2">
      <c r="A406" t="s">
        <v>656</v>
      </c>
      <c r="B406">
        <v>2</v>
      </c>
      <c r="C406" t="s">
        <v>578</v>
      </c>
      <c r="D406" t="s">
        <v>696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J406" t="s">
        <v>678</v>
      </c>
      <c r="K406" t="s">
        <v>674</v>
      </c>
      <c r="M406" t="s">
        <v>692</v>
      </c>
      <c r="N406" t="s">
        <v>691</v>
      </c>
      <c r="O406" t="s">
        <v>689</v>
      </c>
      <c r="P406" t="s">
        <v>690</v>
      </c>
      <c r="R406" t="s">
        <v>702</v>
      </c>
      <c r="S406" t="s">
        <v>705</v>
      </c>
    </row>
    <row r="407" spans="1:19" x14ac:dyDescent="0.2">
      <c r="A407" t="s">
        <v>656</v>
      </c>
      <c r="B407">
        <v>3</v>
      </c>
      <c r="C407" t="s">
        <v>579</v>
      </c>
      <c r="D407" t="s">
        <v>697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J407" t="s">
        <v>678</v>
      </c>
      <c r="K407" t="s">
        <v>670</v>
      </c>
      <c r="M407" t="s">
        <v>689</v>
      </c>
      <c r="N407" t="s">
        <v>690</v>
      </c>
      <c r="O407" t="s">
        <v>692</v>
      </c>
      <c r="P407" t="s">
        <v>690</v>
      </c>
      <c r="R407" t="s">
        <v>702</v>
      </c>
      <c r="S407" t="s">
        <v>705</v>
      </c>
    </row>
    <row r="408" spans="1:19" x14ac:dyDescent="0.2">
      <c r="A408" t="s">
        <v>656</v>
      </c>
      <c r="B408">
        <v>4</v>
      </c>
      <c r="C408" t="s">
        <v>580</v>
      </c>
      <c r="D408" t="s">
        <v>697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J408" t="s">
        <v>678</v>
      </c>
      <c r="K408" t="s">
        <v>674</v>
      </c>
      <c r="M408" t="s">
        <v>689</v>
      </c>
      <c r="N408" t="s">
        <v>689</v>
      </c>
      <c r="O408" t="s">
        <v>691</v>
      </c>
      <c r="P408" t="s">
        <v>690</v>
      </c>
      <c r="R408" t="s">
        <v>702</v>
      </c>
      <c r="S408" t="s">
        <v>705</v>
      </c>
    </row>
    <row r="409" spans="1:19" x14ac:dyDescent="0.2">
      <c r="A409" t="s">
        <v>656</v>
      </c>
      <c r="B409">
        <v>5</v>
      </c>
      <c r="C409" t="s">
        <v>581</v>
      </c>
      <c r="D409" t="s">
        <v>696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J409" t="s">
        <v>678</v>
      </c>
      <c r="K409" t="s">
        <v>673</v>
      </c>
      <c r="M409" t="s">
        <v>689</v>
      </c>
      <c r="N409" t="s">
        <v>691</v>
      </c>
      <c r="O409" t="s">
        <v>689</v>
      </c>
      <c r="P409" t="s">
        <v>690</v>
      </c>
      <c r="R409" t="s">
        <v>702</v>
      </c>
      <c r="S409" t="s">
        <v>705</v>
      </c>
    </row>
    <row r="410" spans="1:19" x14ac:dyDescent="0.2">
      <c r="A410" t="s">
        <v>656</v>
      </c>
      <c r="B410">
        <v>6</v>
      </c>
      <c r="C410" t="s">
        <v>582</v>
      </c>
      <c r="D410" t="s">
        <v>696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J410" t="s">
        <v>678</v>
      </c>
      <c r="K410" t="s">
        <v>673</v>
      </c>
      <c r="M410" t="s">
        <v>689</v>
      </c>
      <c r="N410" t="s">
        <v>691</v>
      </c>
      <c r="O410" t="s">
        <v>690</v>
      </c>
      <c r="P410" t="s">
        <v>690</v>
      </c>
      <c r="R410" t="s">
        <v>702</v>
      </c>
      <c r="S410" t="s">
        <v>705</v>
      </c>
    </row>
    <row r="411" spans="1:19" x14ac:dyDescent="0.2">
      <c r="A411" t="s">
        <v>656</v>
      </c>
      <c r="B411">
        <v>7</v>
      </c>
      <c r="C411" t="s">
        <v>583</v>
      </c>
      <c r="D411" t="s">
        <v>697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J411" t="s">
        <v>678</v>
      </c>
      <c r="K411" t="s">
        <v>671</v>
      </c>
      <c r="M411" t="s">
        <v>691</v>
      </c>
      <c r="N411" t="s">
        <v>689</v>
      </c>
      <c r="O411" t="s">
        <v>689</v>
      </c>
      <c r="P411" t="s">
        <v>689</v>
      </c>
      <c r="R411" t="s">
        <v>702</v>
      </c>
      <c r="S411" t="s">
        <v>705</v>
      </c>
    </row>
    <row r="412" spans="1:19" x14ac:dyDescent="0.2">
      <c r="A412" t="s">
        <v>656</v>
      </c>
      <c r="B412">
        <v>8</v>
      </c>
      <c r="C412" t="s">
        <v>584</v>
      </c>
      <c r="D412" t="s">
        <v>697</v>
      </c>
      <c r="E412" s="3">
        <f>73-23.8</f>
        <v>49.2</v>
      </c>
      <c r="F412" s="3">
        <f>76.7-21.1</f>
        <v>55.6</v>
      </c>
      <c r="G412" s="3">
        <f t="shared" si="6"/>
        <v>57.6</v>
      </c>
      <c r="J412" t="s">
        <v>678</v>
      </c>
      <c r="K412" t="s">
        <v>671</v>
      </c>
      <c r="M412" t="s">
        <v>692</v>
      </c>
      <c r="N412" t="s">
        <v>689</v>
      </c>
      <c r="O412" t="s">
        <v>689</v>
      </c>
      <c r="P412" t="s">
        <v>689</v>
      </c>
      <c r="R412" t="s">
        <v>702</v>
      </c>
      <c r="S412" t="s">
        <v>705</v>
      </c>
    </row>
    <row r="413" spans="1:19" x14ac:dyDescent="0.2">
      <c r="A413" t="s">
        <v>656</v>
      </c>
      <c r="B413">
        <v>9</v>
      </c>
      <c r="C413" t="s">
        <v>585</v>
      </c>
      <c r="D413" t="s">
        <v>696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J413" t="s">
        <v>682</v>
      </c>
      <c r="K413" t="s">
        <v>673</v>
      </c>
      <c r="M413" t="s">
        <v>690</v>
      </c>
      <c r="N413" t="s">
        <v>692</v>
      </c>
      <c r="O413" t="s">
        <v>690</v>
      </c>
      <c r="P413" t="s">
        <v>690</v>
      </c>
      <c r="R413" t="s">
        <v>702</v>
      </c>
      <c r="S413" t="s">
        <v>705</v>
      </c>
    </row>
    <row r="414" spans="1:19" x14ac:dyDescent="0.2">
      <c r="A414" t="s">
        <v>656</v>
      </c>
      <c r="B414">
        <v>10</v>
      </c>
      <c r="C414" t="s">
        <v>586</v>
      </c>
      <c r="D414" t="s">
        <v>697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J414" t="s">
        <v>678</v>
      </c>
      <c r="K414" t="s">
        <v>671</v>
      </c>
      <c r="M414" t="s">
        <v>692</v>
      </c>
      <c r="N414" t="s">
        <v>689</v>
      </c>
      <c r="O414" t="s">
        <v>690</v>
      </c>
      <c r="P414" t="s">
        <v>689</v>
      </c>
      <c r="R414" t="s">
        <v>702</v>
      </c>
      <c r="S414" t="s">
        <v>705</v>
      </c>
    </row>
    <row r="415" spans="1:19" x14ac:dyDescent="0.2">
      <c r="A415" t="s">
        <v>656</v>
      </c>
      <c r="B415">
        <v>11</v>
      </c>
      <c r="C415" t="s">
        <v>587</v>
      </c>
      <c r="D415" t="s">
        <v>697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J415" t="s">
        <v>678</v>
      </c>
      <c r="K415" t="s">
        <v>671</v>
      </c>
      <c r="M415" t="s">
        <v>692</v>
      </c>
      <c r="N415" t="s">
        <v>689</v>
      </c>
      <c r="O415" t="s">
        <v>690</v>
      </c>
      <c r="P415" t="s">
        <v>690</v>
      </c>
      <c r="R415" t="s">
        <v>702</v>
      </c>
      <c r="S415" t="s">
        <v>705</v>
      </c>
    </row>
    <row r="416" spans="1:19" x14ac:dyDescent="0.2">
      <c r="A416" t="s">
        <v>657</v>
      </c>
      <c r="B416">
        <v>1</v>
      </c>
      <c r="C416" t="s">
        <v>588</v>
      </c>
      <c r="D416" t="s">
        <v>697</v>
      </c>
      <c r="E416" s="3">
        <v>28.5</v>
      </c>
      <c r="F416" s="3">
        <f>63.5-33.1</f>
        <v>30.4</v>
      </c>
      <c r="G416" s="3">
        <f t="shared" si="6"/>
        <v>36.9</v>
      </c>
      <c r="J416" t="s">
        <v>675</v>
      </c>
      <c r="K416" t="s">
        <v>671</v>
      </c>
      <c r="M416" t="s">
        <v>692</v>
      </c>
      <c r="N416" t="s">
        <v>689</v>
      </c>
      <c r="O416" t="s">
        <v>690</v>
      </c>
      <c r="P416" t="s">
        <v>690</v>
      </c>
      <c r="R416" t="s">
        <v>701</v>
      </c>
      <c r="S416" t="s">
        <v>705</v>
      </c>
    </row>
    <row r="417" spans="1:19" x14ac:dyDescent="0.2">
      <c r="A417" t="s">
        <v>657</v>
      </c>
      <c r="B417">
        <v>2</v>
      </c>
      <c r="C417" t="s">
        <v>589</v>
      </c>
      <c r="D417" t="s">
        <v>697</v>
      </c>
      <c r="E417" s="3">
        <v>23.5</v>
      </c>
      <c r="F417" s="3">
        <f>59.7-37</f>
        <v>22.700000000000003</v>
      </c>
      <c r="G417" s="3">
        <f t="shared" si="6"/>
        <v>31.9</v>
      </c>
      <c r="J417" t="s">
        <v>675</v>
      </c>
      <c r="K417" t="s">
        <v>671</v>
      </c>
      <c r="M417" t="s">
        <v>689</v>
      </c>
      <c r="N417" t="s">
        <v>691</v>
      </c>
      <c r="O417" t="s">
        <v>690</v>
      </c>
      <c r="P417" t="s">
        <v>690</v>
      </c>
      <c r="R417" t="s">
        <v>701</v>
      </c>
      <c r="S417" t="s">
        <v>705</v>
      </c>
    </row>
    <row r="418" spans="1:19" x14ac:dyDescent="0.2">
      <c r="A418" t="s">
        <v>657</v>
      </c>
      <c r="B418">
        <v>3</v>
      </c>
      <c r="C418" t="s">
        <v>590</v>
      </c>
      <c r="D418" t="s">
        <v>697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J418" t="s">
        <v>675</v>
      </c>
      <c r="K418" t="s">
        <v>672</v>
      </c>
      <c r="M418" t="s">
        <v>689</v>
      </c>
      <c r="N418" t="s">
        <v>692</v>
      </c>
      <c r="O418" t="s">
        <v>690</v>
      </c>
      <c r="P418" t="s">
        <v>690</v>
      </c>
      <c r="R418" t="s">
        <v>701</v>
      </c>
      <c r="S418" t="s">
        <v>705</v>
      </c>
    </row>
    <row r="419" spans="1:19" x14ac:dyDescent="0.2">
      <c r="A419" t="s">
        <v>657</v>
      </c>
      <c r="B419">
        <v>4</v>
      </c>
      <c r="C419" t="s">
        <v>591</v>
      </c>
      <c r="D419" t="s">
        <v>696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J419" t="s">
        <v>675</v>
      </c>
      <c r="K419" t="s">
        <v>673</v>
      </c>
      <c r="M419" t="s">
        <v>690</v>
      </c>
      <c r="N419" t="s">
        <v>689</v>
      </c>
      <c r="O419" t="s">
        <v>690</v>
      </c>
      <c r="P419" t="s">
        <v>691</v>
      </c>
      <c r="R419" t="s">
        <v>701</v>
      </c>
      <c r="S419" t="s">
        <v>705</v>
      </c>
    </row>
    <row r="420" spans="1:19" x14ac:dyDescent="0.2">
      <c r="A420" t="s">
        <v>657</v>
      </c>
      <c r="B420">
        <v>5</v>
      </c>
      <c r="C420" t="s">
        <v>592</v>
      </c>
      <c r="D420" t="s">
        <v>696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J420" t="s">
        <v>675</v>
      </c>
      <c r="K420" t="s">
        <v>673</v>
      </c>
      <c r="M420" t="s">
        <v>689</v>
      </c>
      <c r="N420" t="s">
        <v>692</v>
      </c>
      <c r="O420" t="s">
        <v>690</v>
      </c>
      <c r="P420" t="s">
        <v>690</v>
      </c>
      <c r="R420" t="s">
        <v>701</v>
      </c>
      <c r="S420" t="s">
        <v>705</v>
      </c>
    </row>
    <row r="421" spans="1:19" x14ac:dyDescent="0.2">
      <c r="A421" t="s">
        <v>657</v>
      </c>
      <c r="B421">
        <v>6</v>
      </c>
      <c r="C421" t="s">
        <v>593</v>
      </c>
      <c r="D421" t="s">
        <v>697</v>
      </c>
      <c r="E421" s="3">
        <v>19.2</v>
      </c>
      <c r="F421" s="3">
        <f>56.7-39.6</f>
        <v>17.100000000000001</v>
      </c>
      <c r="G421" s="3">
        <f t="shared" si="6"/>
        <v>27.6</v>
      </c>
      <c r="J421" t="s">
        <v>675</v>
      </c>
      <c r="K421" t="s">
        <v>671</v>
      </c>
      <c r="M421" t="s">
        <v>689</v>
      </c>
      <c r="N421" t="s">
        <v>691</v>
      </c>
      <c r="O421" t="s">
        <v>690</v>
      </c>
      <c r="P421" t="s">
        <v>690</v>
      </c>
      <c r="R421" t="s">
        <v>701</v>
      </c>
      <c r="S421" t="s">
        <v>705</v>
      </c>
    </row>
    <row r="422" spans="1:19" x14ac:dyDescent="0.2">
      <c r="A422" t="s">
        <v>657</v>
      </c>
      <c r="B422">
        <v>7</v>
      </c>
      <c r="C422" t="s">
        <v>594</v>
      </c>
      <c r="D422" t="s">
        <v>697</v>
      </c>
      <c r="E422" s="3">
        <v>74.5</v>
      </c>
      <c r="F422" s="3">
        <f>86.3-11.2</f>
        <v>75.099999999999994</v>
      </c>
      <c r="G422" s="3">
        <f t="shared" si="6"/>
        <v>82.9</v>
      </c>
      <c r="J422" t="s">
        <v>675</v>
      </c>
      <c r="K422" t="s">
        <v>670</v>
      </c>
      <c r="M422" t="s">
        <v>692</v>
      </c>
      <c r="N422" t="s">
        <v>691</v>
      </c>
      <c r="O422" t="s">
        <v>690</v>
      </c>
      <c r="P422" t="s">
        <v>690</v>
      </c>
      <c r="R422" t="s">
        <v>701</v>
      </c>
      <c r="S422" t="s">
        <v>705</v>
      </c>
    </row>
    <row r="423" spans="1:19" x14ac:dyDescent="0.2">
      <c r="A423" t="s">
        <v>657</v>
      </c>
      <c r="B423">
        <v>8</v>
      </c>
      <c r="C423" t="s">
        <v>595</v>
      </c>
      <c r="D423" t="s">
        <v>697</v>
      </c>
      <c r="E423" s="3">
        <v>5.7</v>
      </c>
      <c r="F423" s="3">
        <f>51.7-45</f>
        <v>6.7000000000000028</v>
      </c>
      <c r="G423" s="3">
        <f t="shared" si="6"/>
        <v>14.100000000000001</v>
      </c>
      <c r="J423" t="s">
        <v>675</v>
      </c>
      <c r="K423" t="s">
        <v>671</v>
      </c>
      <c r="M423" t="s">
        <v>691</v>
      </c>
      <c r="N423" t="s">
        <v>691</v>
      </c>
      <c r="O423" t="s">
        <v>690</v>
      </c>
      <c r="P423" t="s">
        <v>690</v>
      </c>
      <c r="R423" t="s">
        <v>701</v>
      </c>
      <c r="S423" t="s">
        <v>705</v>
      </c>
    </row>
    <row r="424" spans="1:19" x14ac:dyDescent="0.2">
      <c r="A424" t="s">
        <v>657</v>
      </c>
      <c r="B424">
        <v>9</v>
      </c>
      <c r="C424" t="s">
        <v>596</v>
      </c>
      <c r="D424" t="s">
        <v>697</v>
      </c>
      <c r="E424" s="3">
        <v>41</v>
      </c>
      <c r="F424" s="3">
        <f>71-26.3</f>
        <v>44.7</v>
      </c>
      <c r="G424" s="3">
        <f t="shared" si="6"/>
        <v>49.4</v>
      </c>
      <c r="J424" t="s">
        <v>675</v>
      </c>
      <c r="K424" t="s">
        <v>671</v>
      </c>
      <c r="M424" t="s">
        <v>691</v>
      </c>
      <c r="N424" t="s">
        <v>690</v>
      </c>
      <c r="O424" t="s">
        <v>689</v>
      </c>
      <c r="P424" t="s">
        <v>690</v>
      </c>
      <c r="R424" t="s">
        <v>701</v>
      </c>
      <c r="S424" t="s">
        <v>705</v>
      </c>
    </row>
    <row r="425" spans="1:19" x14ac:dyDescent="0.2">
      <c r="A425" t="s">
        <v>657</v>
      </c>
      <c r="B425">
        <v>10</v>
      </c>
      <c r="C425" t="s">
        <v>597</v>
      </c>
      <c r="D425" t="s">
        <v>697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J425" t="s">
        <v>675</v>
      </c>
      <c r="K425" t="s">
        <v>671</v>
      </c>
      <c r="M425" t="s">
        <v>689</v>
      </c>
      <c r="N425" t="s">
        <v>691</v>
      </c>
      <c r="O425" t="s">
        <v>690</v>
      </c>
      <c r="P425" t="s">
        <v>690</v>
      </c>
      <c r="R425" t="s">
        <v>701</v>
      </c>
      <c r="S425" t="s">
        <v>705</v>
      </c>
    </row>
    <row r="426" spans="1:19" x14ac:dyDescent="0.2">
      <c r="A426" t="s">
        <v>658</v>
      </c>
      <c r="B426">
        <v>1</v>
      </c>
      <c r="C426" t="s">
        <v>598</v>
      </c>
      <c r="D426" t="s">
        <v>696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599</v>
      </c>
      <c r="I426" t="s">
        <v>598</v>
      </c>
      <c r="J426" t="s">
        <v>682</v>
      </c>
      <c r="K426" t="s">
        <v>673</v>
      </c>
      <c r="M426" t="s">
        <v>690</v>
      </c>
      <c r="N426" t="s">
        <v>692</v>
      </c>
      <c r="O426" t="s">
        <v>690</v>
      </c>
      <c r="P426" t="s">
        <v>690</v>
      </c>
      <c r="R426" t="s">
        <v>702</v>
      </c>
      <c r="S426" t="s">
        <v>706</v>
      </c>
    </row>
    <row r="427" spans="1:19" x14ac:dyDescent="0.2">
      <c r="A427" t="s">
        <v>658</v>
      </c>
      <c r="B427">
        <v>2</v>
      </c>
      <c r="C427" t="s">
        <v>600</v>
      </c>
      <c r="D427" t="s">
        <v>696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601</v>
      </c>
      <c r="I427" t="s">
        <v>602</v>
      </c>
      <c r="J427" t="s">
        <v>682</v>
      </c>
      <c r="K427" t="s">
        <v>673</v>
      </c>
      <c r="M427" t="s">
        <v>690</v>
      </c>
      <c r="N427" t="s">
        <v>692</v>
      </c>
      <c r="O427" t="s">
        <v>690</v>
      </c>
      <c r="P427" t="s">
        <v>690</v>
      </c>
      <c r="R427" t="s">
        <v>702</v>
      </c>
      <c r="S427" t="s">
        <v>706</v>
      </c>
    </row>
    <row r="428" spans="1:19" x14ac:dyDescent="0.2">
      <c r="A428" t="s">
        <v>659</v>
      </c>
      <c r="B428">
        <v>1</v>
      </c>
      <c r="C428" t="s">
        <v>603</v>
      </c>
      <c r="D428" t="s">
        <v>696</v>
      </c>
      <c r="E428" s="3">
        <v>-4.5</v>
      </c>
      <c r="F428" s="3">
        <f>48.1-50.1</f>
        <v>-2</v>
      </c>
      <c r="G428" s="3">
        <f t="shared" si="6"/>
        <v>3.9000000000000004</v>
      </c>
      <c r="J428" t="s">
        <v>666</v>
      </c>
      <c r="K428" t="s">
        <v>671</v>
      </c>
      <c r="M428" t="s">
        <v>689</v>
      </c>
      <c r="N428" t="s">
        <v>692</v>
      </c>
      <c r="O428" t="s">
        <v>690</v>
      </c>
      <c r="P428" t="s">
        <v>690</v>
      </c>
      <c r="R428" t="s">
        <v>702</v>
      </c>
      <c r="S428" t="s">
        <v>705</v>
      </c>
    </row>
    <row r="429" spans="1:19" x14ac:dyDescent="0.2">
      <c r="A429" t="s">
        <v>659</v>
      </c>
      <c r="B429">
        <v>2</v>
      </c>
      <c r="C429" t="s">
        <v>604</v>
      </c>
      <c r="D429" t="s">
        <v>697</v>
      </c>
      <c r="E429" s="3">
        <v>40</v>
      </c>
      <c r="F429" s="3">
        <f>70-28.3</f>
        <v>41.7</v>
      </c>
      <c r="G429" s="3">
        <f t="shared" si="6"/>
        <v>48.4</v>
      </c>
      <c r="J429" t="s">
        <v>666</v>
      </c>
      <c r="K429" t="s">
        <v>670</v>
      </c>
      <c r="M429" t="s">
        <v>691</v>
      </c>
      <c r="N429" t="s">
        <v>692</v>
      </c>
      <c r="O429" t="s">
        <v>690</v>
      </c>
      <c r="P429" t="s">
        <v>690</v>
      </c>
      <c r="R429" t="s">
        <v>702</v>
      </c>
      <c r="S429" t="s">
        <v>705</v>
      </c>
    </row>
    <row r="430" spans="1:19" x14ac:dyDescent="0.2">
      <c r="A430" t="s">
        <v>659</v>
      </c>
      <c r="B430">
        <v>3</v>
      </c>
      <c r="C430" t="s">
        <v>605</v>
      </c>
      <c r="D430" t="s">
        <v>697</v>
      </c>
      <c r="E430" s="3">
        <v>-7.4</v>
      </c>
      <c r="F430" s="3">
        <f>46.7-51.4</f>
        <v>-4.6999999999999957</v>
      </c>
      <c r="G430" s="3">
        <f t="shared" si="6"/>
        <v>1</v>
      </c>
      <c r="J430" t="s">
        <v>666</v>
      </c>
      <c r="K430" t="s">
        <v>674</v>
      </c>
      <c r="M430" t="s">
        <v>689</v>
      </c>
      <c r="N430" t="s">
        <v>692</v>
      </c>
      <c r="O430" t="s">
        <v>690</v>
      </c>
      <c r="P430" t="s">
        <v>690</v>
      </c>
      <c r="R430" t="s">
        <v>702</v>
      </c>
      <c r="S430" t="s">
        <v>705</v>
      </c>
    </row>
    <row r="431" spans="1:19" x14ac:dyDescent="0.2">
      <c r="A431" t="s">
        <v>659</v>
      </c>
      <c r="B431">
        <v>4</v>
      </c>
      <c r="C431" t="s">
        <v>606</v>
      </c>
      <c r="D431" t="s">
        <v>696</v>
      </c>
      <c r="E431" s="3">
        <v>51.4</v>
      </c>
      <c r="F431" s="3">
        <f>75.6-22.7</f>
        <v>52.899999999999991</v>
      </c>
      <c r="G431" s="3">
        <f t="shared" si="6"/>
        <v>59.8</v>
      </c>
      <c r="J431" t="s">
        <v>666</v>
      </c>
      <c r="K431" t="s">
        <v>670</v>
      </c>
      <c r="M431" t="s">
        <v>689</v>
      </c>
      <c r="N431" t="s">
        <v>689</v>
      </c>
      <c r="O431" t="s">
        <v>691</v>
      </c>
      <c r="P431" t="s">
        <v>689</v>
      </c>
      <c r="R431" t="s">
        <v>702</v>
      </c>
      <c r="S431" t="s">
        <v>705</v>
      </c>
    </row>
    <row r="432" spans="1:19" x14ac:dyDescent="0.2">
      <c r="A432" t="s">
        <v>659</v>
      </c>
      <c r="B432">
        <v>5</v>
      </c>
      <c r="C432" t="s">
        <v>607</v>
      </c>
      <c r="D432" t="s">
        <v>696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J432" t="s">
        <v>666</v>
      </c>
      <c r="K432" t="s">
        <v>674</v>
      </c>
      <c r="M432" t="s">
        <v>691</v>
      </c>
      <c r="N432" t="s">
        <v>692</v>
      </c>
      <c r="O432" t="s">
        <v>690</v>
      </c>
      <c r="P432" t="s">
        <v>690</v>
      </c>
      <c r="R432" t="s">
        <v>702</v>
      </c>
      <c r="S432" t="s">
        <v>705</v>
      </c>
    </row>
    <row r="433" spans="1:19" x14ac:dyDescent="0.2">
      <c r="A433" t="s">
        <v>659</v>
      </c>
      <c r="B433">
        <v>6</v>
      </c>
      <c r="C433" t="s">
        <v>608</v>
      </c>
      <c r="D433" t="s">
        <v>696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J433" t="s">
        <v>666</v>
      </c>
      <c r="K433" t="s">
        <v>673</v>
      </c>
      <c r="M433" t="s">
        <v>689</v>
      </c>
      <c r="N433" t="s">
        <v>692</v>
      </c>
      <c r="O433" t="s">
        <v>690</v>
      </c>
      <c r="P433" t="s">
        <v>690</v>
      </c>
      <c r="R433" t="s">
        <v>702</v>
      </c>
      <c r="S433" t="s">
        <v>705</v>
      </c>
    </row>
    <row r="434" spans="1:19" x14ac:dyDescent="0.2">
      <c r="A434" t="s">
        <v>659</v>
      </c>
      <c r="B434">
        <v>7</v>
      </c>
      <c r="C434" t="s">
        <v>609</v>
      </c>
      <c r="D434" t="s">
        <v>696</v>
      </c>
      <c r="E434" s="3">
        <v>-22.5</v>
      </c>
      <c r="F434" s="3">
        <f>39.2-59.1</f>
        <v>-19.899999999999999</v>
      </c>
      <c r="G434" s="3">
        <f t="shared" si="6"/>
        <v>-14.1</v>
      </c>
      <c r="J434" t="s">
        <v>666</v>
      </c>
      <c r="K434" t="s">
        <v>673</v>
      </c>
      <c r="M434" t="s">
        <v>690</v>
      </c>
      <c r="N434" t="s">
        <v>692</v>
      </c>
      <c r="O434" t="s">
        <v>690</v>
      </c>
      <c r="P434" t="s">
        <v>690</v>
      </c>
      <c r="R434" t="s">
        <v>702</v>
      </c>
      <c r="S434" t="s">
        <v>705</v>
      </c>
    </row>
    <row r="435" spans="1:19" x14ac:dyDescent="0.2">
      <c r="A435" t="s">
        <v>659</v>
      </c>
      <c r="B435">
        <v>8</v>
      </c>
      <c r="C435" t="s">
        <v>610</v>
      </c>
      <c r="D435" t="s">
        <v>696</v>
      </c>
      <c r="E435" s="3">
        <v>-16.2</v>
      </c>
      <c r="F435" s="3">
        <f>41.4-56.9</f>
        <v>-15.5</v>
      </c>
      <c r="G435" s="3">
        <f t="shared" si="6"/>
        <v>-7.7999999999999989</v>
      </c>
      <c r="J435" t="s">
        <v>666</v>
      </c>
      <c r="K435" t="s">
        <v>673</v>
      </c>
      <c r="M435" t="s">
        <v>689</v>
      </c>
      <c r="N435" t="s">
        <v>692</v>
      </c>
      <c r="O435" t="s">
        <v>690</v>
      </c>
      <c r="P435" t="s">
        <v>690</v>
      </c>
      <c r="R435" t="s">
        <v>702</v>
      </c>
      <c r="S435" t="s">
        <v>705</v>
      </c>
    </row>
    <row r="436" spans="1:19" x14ac:dyDescent="0.2">
      <c r="A436" t="s">
        <v>660</v>
      </c>
      <c r="B436" s="5" t="s">
        <v>17</v>
      </c>
      <c r="C436" t="s">
        <v>611</v>
      </c>
      <c r="D436" t="s">
        <v>696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J436" t="s">
        <v>681</v>
      </c>
      <c r="K436" t="s">
        <v>673</v>
      </c>
      <c r="M436" t="s">
        <v>689</v>
      </c>
      <c r="N436" t="s">
        <v>692</v>
      </c>
      <c r="P436" t="s">
        <v>690</v>
      </c>
      <c r="R436" t="s">
        <v>702</v>
      </c>
      <c r="S436" t="s">
        <v>705</v>
      </c>
    </row>
  </sheetData>
  <conditionalFormatting sqref="E1:G2 E376 E437:G1048576 E377:F436 E3:F375 G3:G436 J1:L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664</v>
      </c>
      <c r="B1" s="1" t="s">
        <v>662</v>
      </c>
    </row>
    <row r="2" spans="1:2" x14ac:dyDescent="0.2">
      <c r="A2" t="s">
        <v>665</v>
      </c>
      <c r="B2" t="s">
        <v>670</v>
      </c>
    </row>
    <row r="3" spans="1:2" x14ac:dyDescent="0.2">
      <c r="A3" t="s">
        <v>666</v>
      </c>
      <c r="B3" t="s">
        <v>671</v>
      </c>
    </row>
    <row r="4" spans="1:2" x14ac:dyDescent="0.2">
      <c r="A4" t="s">
        <v>667</v>
      </c>
      <c r="B4" t="s">
        <v>672</v>
      </c>
    </row>
    <row r="5" spans="1:2" x14ac:dyDescent="0.2">
      <c r="A5" t="s">
        <v>668</v>
      </c>
      <c r="B5" t="s">
        <v>673</v>
      </c>
    </row>
    <row r="6" spans="1:2" x14ac:dyDescent="0.2">
      <c r="A6" t="s">
        <v>669</v>
      </c>
      <c r="B6" t="s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2026-06-01T19:22:14Z</dcterms:modified>
</cp:coreProperties>
</file>