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Desktop - Ben’s MacBook Air/house_model_python/"/>
    </mc:Choice>
  </mc:AlternateContent>
  <xr:revisionPtr revIDLastSave="0" documentId="13_ncr:1_{CB831DC2-4ADE-E24A-91D9-F27AC3BA5E51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E8" i="1"/>
  <c r="F7" i="1"/>
  <c r="E7" i="1"/>
  <c r="F6" i="1"/>
  <c r="E6" i="1"/>
  <c r="F5" i="1"/>
  <c r="E5" i="1"/>
  <c r="F4" i="1"/>
  <c r="E4" i="1"/>
  <c r="F3" i="1"/>
  <c r="E3" i="1"/>
  <c r="F2" i="1"/>
  <c r="E2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 l="1"/>
  <c r="G6" i="1"/>
  <c r="G5" i="1"/>
  <c r="G4" i="1"/>
  <c r="G3" i="1"/>
  <c r="G2" i="1"/>
  <c r="G7" i="1"/>
  <c r="G361" i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<sst xmlns="http://schemas.openxmlformats.org/spreadsheetml/2006/main" count="5332" uniqueCount="875">
  <si>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</si>
  <si>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</si>
  <si>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</si>
  <si>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</si>
  <si>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</si>
  <si>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</si>
  <si>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</si>
  <si>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</si>
  <si>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</si>
  <si>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</si>
  <si>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</si>
  <si>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</si>
  <si>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</si>
  <si>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</si>
  <si>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</si>
  <si>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</si>
  <si>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</si>
  <si>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</si>
  <si>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</si>
  <si>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</si>
  <si>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</si>
  <si>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</si>
  <si>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</si>
  <si>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</si>
  <si>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</si>
  <si>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</si>
  <si>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</si>
  <si>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</si>
  <si>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</si>
  <si>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</si>
  <si>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</si>
  <si>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</si>
  <si>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</si>
  <si>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</si>
  <si>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</si>
  <si>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</si>
  <si>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</si>
  <si>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</si>
  <si>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</si>
  <si>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</si>
  <si>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</si>
  <si>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</si>
  <si>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</si>
  <si>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</si>
  <si>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</si>
  <si>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</si>
  <si>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</si>
  <si>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</si>
  <si>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</si>
  <si>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</si>
  <si>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</si>
  <si>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</si>
  <si>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</si>
  <si>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</si>
  <si>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</si>
  <si>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</si>
  <si>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</si>
  <si>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</si>
  <si>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</si>
  <si>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</si>
  <si>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</si>
  <si>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</si>
  <si>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</si>
  <si>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</si>
  <si>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</si>
  <si>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</si>
  <si>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</si>
  <si>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</si>
  <si>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</si>
  <si>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</si>
  <si>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</si>
  <si>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</si>
  <si>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</si>
  <si>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</si>
  <si>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</si>
  <si>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</si>
  <si>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</si>
  <si>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</si>
  <si>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</si>
  <si>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</si>
  <si>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</si>
  <si>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</si>
  <si>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</si>
  <si>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</si>
  <si>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</si>
  <si>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</si>
  <si>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</si>
  <si>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</si>
  <si>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</si>
  <si>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</si>
  <si>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</si>
  <si>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</si>
  <si>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</si>
  <si>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</si>
  <si>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</si>
  <si>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</si>
  <si>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</si>
  <si>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</si>
  <si>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</si>
  <si>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</si>
  <si>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</si>
  <si>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</si>
  <si>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</si>
  <si>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</si>
  <si>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</si>
  <si>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</si>
  <si>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</si>
  <si>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</si>
  <si>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</si>
  <si>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</si>
  <si>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</si>
  <si>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</si>
  <si>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</si>
  <si>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</si>
  <si>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</si>
  <si>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</si>
  <si>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</si>
  <si>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</si>
  <si>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</si>
  <si>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</si>
  <si>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</si>
  <si>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</si>
  <si>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</si>
  <si>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</si>
  <si>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</si>
  <si>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</si>
  <si>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</si>
  <si>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</si>
  <si>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</si>
  <si>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</si>
  <si>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</si>
  <si>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</si>
  <si>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</si>
  <si>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</si>
  <si>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</si>
  <si>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</si>
  <si>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</si>
  <si>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</si>
  <si>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</si>
  <si>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</si>
  <si>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</si>
  <si>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</si>
  <si>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</si>
  <si>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</si>
  <si>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</si>
  <si>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</si>
  <si>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</si>
  <si>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</si>
  <si>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</si>
  <si>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</si>
  <si>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</si>
  <si>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</si>
  <si>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</si>
  <si>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</si>
  <si>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</si>
  <si>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</si>
  <si>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</si>
  <si>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</si>
  <si>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</si>
  <si>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</si>
  <si>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</si>
  <si>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</si>
  <si>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</si>
  <si>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</si>
  <si>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</si>
  <si>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</si>
  <si>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</si>
  <si>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</si>
  <si>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</si>
  <si>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</si>
  <si>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</si>
  <si>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</si>
  <si>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</si>
  <si>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</si>
  <si>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</si>
  <si>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</si>
  <si>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</si>
  <si>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</si>
  <si>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</si>
  <si>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</si>
  <si>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</si>
  <si>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</si>
  <si>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</si>
  <si>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</si>
  <si>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</si>
  <si>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</si>
  <si>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</si>
  <si>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</si>
  <si>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</si>
  <si>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</si>
  <si>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</si>
  <si>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</si>
  <si>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</si>
  <si>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</si>
  <si>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</si>
  <si>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</si>
  <si>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</si>
  <si>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</si>
  <si>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</si>
  <si>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</si>
  <si>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</si>
  <si>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</si>
  <si>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</si>
  <si>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</si>
  <si>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</si>
  <si>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</si>
  <si>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</si>
  <si>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</si>
  <si>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</si>
  <si>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</si>
  <si>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</si>
  <si>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</si>
  <si>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</si>
  <si>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</si>
  <si>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</si>
  <si>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</si>
  <si>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</si>
  <si>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</si>
  <si>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</si>
  <si>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</si>
  <si>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</si>
  <si>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</si>
  <si>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</si>
  <si>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</si>
  <si>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</si>
  <si>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</si>
  <si>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</si>
  <si>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</si>
  <si>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</si>
  <si>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</si>
  <si>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</si>
  <si>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</si>
  <si>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</si>
  <si>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</si>
  <si>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</si>
  <si>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</si>
  <si>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</si>
  <si>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</si>
  <si>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</si>
  <si>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</si>
  <si>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</si>
  <si>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</si>
  <si>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</si>
  <si>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</si>
  <si>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</si>
  <si>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</si>
  <si>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</si>
  <si>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</si>
  <si>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</si>
  <si>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</si>
  <si>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</si>
  <si>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</si>
  <si>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</si>
  <si>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</si>
  <si>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</si>
  <si>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</si>
  <si>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</si>
  <si>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</si>
  <si>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</si>
  <si>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</si>
  <si>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</si>
  <si>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</si>
  <si>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</si>
  <si>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</si>
  <si>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</si>
  <si>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</si>
  <si>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</si>
  <si>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</si>
  <si>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</si>
  <si>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</si>
  <si>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</si>
  <si>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</si>
  <si>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</si>
  <si>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</si>
  <si>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</si>
  <si>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</si>
  <si>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</si>
  <si>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</si>
  <si>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</si>
  <si>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</si>
  <si>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</si>
  <si>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</si>
  <si>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</si>
  <si>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</si>
  <si>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</si>
  <si>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</si>
  <si>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</si>
  <si>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</si>
  <si>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</si>
  <si>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</si>
  <si>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</si>
  <si>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</si>
  <si>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</si>
  <si>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</si>
  <si>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</si>
  <si>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</si>
  <si>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</si>
  <si>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</si>
  <si>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</si>
  <si>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</si>
  <si>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</si>
  <si>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</si>
  <si>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</si>
  <si>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</si>
  <si>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</si>
  <si>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</si>
  <si>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</si>
  <si>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</si>
  <si>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</si>
  <si>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</si>
  <si>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</si>
  <si>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</si>
  <si>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</si>
  <si>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</si>
  <si>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</si>
  <si>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</si>
  <si>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</si>
  <si>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</si>
  <si>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</si>
  <si>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</si>
  <si>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</si>
  <si>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</si>
  <si>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</si>
  <si>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</si>
  <si>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</si>
  <si>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</si>
  <si>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</si>
  <si>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</si>
  <si>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</si>
  <si>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</si>
  <si>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</si>
  <si>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</si>
  <si>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</si>
  <si>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</si>
  <si>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</si>
  <si>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</si>
  <si>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</si>
  <si>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</si>
  <si>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</si>
  <si>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</si>
  <si>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</si>
  <si>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</si>
  <si>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</si>
  <si>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</si>
  <si>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</si>
  <si>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</si>
  <si>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</si>
  <si>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</si>
  <si>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</si>
  <si>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</si>
  <si>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</si>
  <si>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</si>
  <si>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</si>
  <si>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</si>
  <si>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</si>
  <si>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</si>
  <si>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</si>
  <si>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</si>
  <si>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</si>
  <si>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</si>
  <si>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</si>
  <si>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</si>
  <si>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</si>
  <si>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</si>
  <si>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</si>
  <si>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</si>
  <si>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</si>
  <si>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</si>
  <si>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</si>
  <si>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</si>
  <si>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</si>
  <si>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</si>
  <si>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</si>
  <si>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</si>
  <si>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</si>
  <si>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</si>
  <si>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</si>
  <si>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</si>
  <si>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</si>
  <si>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</si>
  <si>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</si>
  <si>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</si>
  <si>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</si>
  <si>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</si>
  <si>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</si>
  <si>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</si>
  <si>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</si>
  <si>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</si>
  <si>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</si>
  <si>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</si>
  <si>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</si>
  <si>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</si>
  <si>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</si>
  <si>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</si>
  <si>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</si>
  <si>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</si>
  <si>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</si>
  <si>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</si>
  <si>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</si>
  <si>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</si>
  <si>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</si>
  <si>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</si>
  <si>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</si>
  <si>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</si>
  <si>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</si>
  <si>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</si>
  <si>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</si>
  <si>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</si>
  <si>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</si>
  <si>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</si>
  <si>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</si>
  <si>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</si>
  <si>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</si>
  <si>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</si>
  <si>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</si>
  <si>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</si>
  <si>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</si>
  <si>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</si>
  <si>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</si>
  <si>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</si>
  <si>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</si>
  <si>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</si>
  <si>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</si>
  <si>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</si>
  <si>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</si>
  <si>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</si>
  <si>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</si>
  <si>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</si>
  <si>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</si>
  <si>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</si>
  <si>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</si>
  <si>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</si>
  <si>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</si>
  <si>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</si>
  <si>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</si>
  <si>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</si>
  <si>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</si>
  <si>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</si>
  <si>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</si>
  <si>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</si>
  <si>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</si>
  <si>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</si>
  <si>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</si>
  <si>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</si>
  <si>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</si>
  <si>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</si>
  <si>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</si>
  <si>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</si>
  <si>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</si>
  <si>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</si>
  <si>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</si>
  <si>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</si>
  <si>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</si>
  <si>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</si>
  <si>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</si>
  <si>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</si>
  <si>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</si>
  <si>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</si>
  <si>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</si>
  <si>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</si>
  <si>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</si>
  <si>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</si>
  <si>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</si>
  <si>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</si>
  <si>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</si>
  <si>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</si>
  <si>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</si>
  <si>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</si>
  <si>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</si>
  <si>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</si>
  <si>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</si>
  <si>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</si>
  <si>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</si>
  <si>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</si>
  <si>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</si>
  <si>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</si>
  <si>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</si>
  <si>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</si>
  <si>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</si>
  <si>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</si>
  <si>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</si>
  <si>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</si>
  <si>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</si>
  <si>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</si>
  <si>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</si>
  <si>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</si>
  <si>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</si>
  <si>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</si>
  <si>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</si>
  <si>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</si>
  <si>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</si>
  <si>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</si>
  <si>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</si>
  <si>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</si>
  <si>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</si>
  <si>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</si>
  <si>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</si>
  <si>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</si>
  <si>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</si>
  <si>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</si>
  <si>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</si>
  <si>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</si>
  <si>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</si>
  <si>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</si>
  <si>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</si>
  <si>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</si>
  <si>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</si>
  <si>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</si>
  <si>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</si>
  <si>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</si>
  <si>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</si>
  <si>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</si>
  <si>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</si>
  <si>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</si>
  <si>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</si>
  <si>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</si>
  <si>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</si>
  <si>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</si>
  <si>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</si>
  <si>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</si>
  <si>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</si>
  <si>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</si>
  <si>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</si>
  <si>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</si>
  <si>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</si>
  <si>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</si>
  <si>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</si>
  <si>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</si>
  <si>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</si>
  <si>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</si>
  <si>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</si>
  <si>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</si>
  <si>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</si>
  <si>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</si>
  <si>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</si>
  <si>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</si>
  <si>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</si>
  <si>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</si>
  <si>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</si>
  <si>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</si>
  <si>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</si>
  <si>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</si>
  <si>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</si>
  <si>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</si>
  <si>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</si>
  <si>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</si>
  <si>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</si>
  <si>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</si>
  <si>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</si>
  <si>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</si>
  <si>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</si>
  <si>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</si>
  <si>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</si>
  <si>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</si>
  <si>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</si>
  <si>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</si>
  <si>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</si>
  <si>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</si>
  <si>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</si>
  <si>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</si>
  <si>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</si>
  <si>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</si>
  <si>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</si>
  <si>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</si>
  <si>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</si>
  <si>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</si>
  <si>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</si>
  <si>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</si>
  <si>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</si>
  <si>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</si>
  <si>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</si>
  <si>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</si>
  <si>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</si>
  <si>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</si>
  <si>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</si>
  <si>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</si>
  <si>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</si>
  <si>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</si>
  <si>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</si>
  <si>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</si>
  <si>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</si>
  <si>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</si>
  <si>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</si>
  <si>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</si>
  <si>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</si>
  <si>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</si>
  <si>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</si>
  <si>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</si>
  <si>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</si>
  <si>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</si>
  <si>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</si>
  <si>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</si>
  <si>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</si>
  <si>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</si>
  <si>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</si>
  <si>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</si>
  <si>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</si>
  <si>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</si>
  <si>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</si>
  <si>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</si>
  <si>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</si>
  <si>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</si>
  <si>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</si>
  <si>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</si>
  <si>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</si>
  <si>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</si>
  <si>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</si>
  <si>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</si>
  <si>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</si>
  <si>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</si>
  <si>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</si>
  <si>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</si>
  <si>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</si>
  <si>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</si>
  <si>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</si>
  <si>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</si>
  <si>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</si>
  <si>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</si>
  <si>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</si>
  <si>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</si>
  <si>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</si>
  <si>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</si>
  <si>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</si>
  <si>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</si>
  <si>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</si>
  <si>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</si>
  <si>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</si>
  <si>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</si>
  <si>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</si>
  <si>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</si>
  <si>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</si>
  <si>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</si>
  <si>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</si>
  <si>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</si>
  <si>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</si>
  <si>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</si>
  <si>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</si>
  <si>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</si>
  <si>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</si>
  <si>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</si>
  <si>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</si>
  <si>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</si>
  <si>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</si>
  <si>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</si>
  <si>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</si>
  <si>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</si>
  <si>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</si>
  <si>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</si>
  <si>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</si>
  <si>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</si>
  <si>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</si>
  <si>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</si>
  <si>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</si>
  <si>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</si>
  <si>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</si>
  <si>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</si>
  <si>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</si>
  <si>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</si>
  <si>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</si>
  <si>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</si>
  <si>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</si>
  <si>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</si>
  <si>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</si>
  <si>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</si>
  <si>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</si>
  <si>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</si>
  <si>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</si>
  <si>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</si>
  <si>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</si>
  <si>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</si>
  <si>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</si>
  <si>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</si>
  <si>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</si>
  <si>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</si>
  <si>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</si>
  <si>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</si>
  <si>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</si>
  <si>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</si>
  <si>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</si>
  <si>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</si>
  <si>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</si>
  <si>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</si>
  <si>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</si>
  <si>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</si>
  <si>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</si>
  <si>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</si>
  <si>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</si>
  <si>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</si>
  <si>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</si>
  <si>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</si>
  <si>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</si>
  <si>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</si>
  <si>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</si>
  <si>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</si>
  <si>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</si>
  <si>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</si>
  <si>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</si>
  <si>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</si>
  <si>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</si>
  <si>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</si>
  <si>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</si>
  <si>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</si>
  <si>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</si>
  <si>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</si>
  <si>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</si>
  <si>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</si>
  <si>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</si>
  <si>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</si>
  <si>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</si>
  <si>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</si>
  <si>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</si>
  <si>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</si>
  <si>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</si>
  <si>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</si>
  <si>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</si>
  <si>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</si>
  <si>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</si>
  <si>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</si>
  <si>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</si>
  <si>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</si>
  <si>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</si>
  <si>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</si>
  <si>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</si>
  <si>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</si>
  <si>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</si>
  <si>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</si>
  <si>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</si>
  <si>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</si>
  <si>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</si>
  <si>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</si>
  <si>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</si>
  <si>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</si>
  <si>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</si>
  <si>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</si>
  <si>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</si>
  <si>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</si>
  <si>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</si>
  <si>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</si>
  <si>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</si>
  <si>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</si>
  <si>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</si>
  <si>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</si>
  <si>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</si>
  <si>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</si>
  <si>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</si>
  <si>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</si>
  <si>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</si>
  <si>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</si>
  <si>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</si>
  <si>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</si>
  <si>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</si>
  <si>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</si>
  <si>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</si>
  <si>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</si>
  <si>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</si>
  <si>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</si>
  <si>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</si>
  <si>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</si>
  <si>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</si>
  <si>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</si>
  <si>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</si>
  <si>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</si>
  <si>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</si>
  <si>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</si>
  <si>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</si>
  <si>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</si>
  <si>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</si>
  <si>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</si>
  <si>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</si>
  <si>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</si>
  <si>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</si>
  <si>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</si>
  <si>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</si>
  <si>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</si>
  <si>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</si>
  <si>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</si>
  <si>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</si>
  <si>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Pino, Rosie</t>
  </si>
  <si>
    <t>Fedorchak, Julie</t>
  </si>
  <si>
    <t>Hammer, Trygve</t>
  </si>
  <si>
    <t>Littau, Robin</t>
  </si>
  <si>
    <t>Pan, Richard</t>
  </si>
  <si>
    <t>Vang, Mai</t>
  </si>
  <si>
    <t>Recile, Rudy</t>
  </si>
  <si>
    <t>Villegas, Randy</t>
  </si>
  <si>
    <t>Duenas, Angelica</t>
  </si>
  <si>
    <t>Meyers, Scott</t>
  </si>
  <si>
    <t>Gonzales-Torres, Angela</t>
  </si>
  <si>
    <t>Brignano, Houston</t>
  </si>
  <si>
    <t>Mota, Samantha</t>
  </si>
  <si>
    <t>Kim, Young</t>
  </si>
  <si>
    <t>R_vs_R</t>
  </si>
  <si>
    <t>Burley, Brian</t>
  </si>
  <si>
    <t>Bartie, Thurmond</t>
  </si>
  <si>
    <t>Biggs, Sherri</t>
  </si>
  <si>
    <t>Lehmacher, Eunice</t>
  </si>
  <si>
    <t>McClain, Courtney</t>
  </si>
  <si>
    <t>Dittmer, Mallory</t>
  </si>
  <si>
    <t>Climer, Wes</t>
  </si>
  <si>
    <t>Peterson, John</t>
  </si>
  <si>
    <t>Vincent, John</t>
  </si>
  <si>
    <t>Buck, Carrie</t>
  </si>
  <si>
    <t>Flippo, David</t>
  </si>
  <si>
    <t>Benitez-Thompson, Teresa</t>
  </si>
  <si>
    <t>O'Donnell, Marty</t>
  </si>
  <si>
    <t>Whipple, Cody</t>
  </si>
  <si>
    <t>Russell, Ronald</t>
  </si>
  <si>
    <t>LePage, Paul</t>
  </si>
  <si>
    <t>Hernandez, Melissa</t>
  </si>
  <si>
    <t>Morales, Cristian</t>
  </si>
  <si>
    <t>Frese, Jeff</t>
  </si>
  <si>
    <t>Jones, Eric</t>
  </si>
  <si>
    <t>Soule, Peter</t>
  </si>
  <si>
    <t>Cowan, John</t>
  </si>
  <si>
    <t>Kozycki, Tony</t>
  </si>
  <si>
    <t>Croisant, John</t>
  </si>
  <si>
    <t>Wade, Brandon</t>
  </si>
  <si>
    <t>Smith, Ceretta</t>
  </si>
  <si>
    <t>Sneed, Andrew</t>
  </si>
  <si>
    <t>Byrd, Suzie</t>
  </si>
  <si>
    <t>Hollowell, Amanda</t>
  </si>
  <si>
    <t>Jacob, Mitchell</t>
  </si>
  <si>
    <t>Nelson, Gina</t>
  </si>
  <si>
    <t>Dunlap, Matthew</t>
  </si>
  <si>
    <t>Gallant, Christopher</t>
  </si>
  <si>
    <t>Halpin, Patrick</t>
  </si>
  <si>
    <t>LiPetri, Michael</t>
  </si>
  <si>
    <t>Driscoll, Jeanine</t>
  </si>
  <si>
    <t>Marks, George</t>
  </si>
  <si>
    <t>Chou, Joseph</t>
  </si>
  <si>
    <t>Valdez, Claire</t>
  </si>
  <si>
    <t>Rivera, Melvin</t>
  </si>
  <si>
    <t>Mizrahi, Lewis</t>
  </si>
  <si>
    <t>Azumah, Joel</t>
  </si>
  <si>
    <t>Lander, Brad</t>
  </si>
  <si>
    <t>Moore, Jennifer</t>
  </si>
  <si>
    <t>DeCillis, Mike</t>
  </si>
  <si>
    <t>Lasher, Micah</t>
  </si>
  <si>
    <t>Shinkle, Caroline</t>
  </si>
  <si>
    <t>Avila Chevalier, Darializa</t>
  </si>
  <si>
    <t>Williams, Jomo</t>
  </si>
  <si>
    <t>Hysenaj, Diamant</t>
  </si>
  <si>
    <t>Sapaskis, Stylo</t>
  </si>
  <si>
    <t>Cinquemani, Joseph</t>
  </si>
  <si>
    <t>Conley, Cait</t>
  </si>
  <si>
    <t>Auringer, Jackie Mary</t>
  </si>
  <si>
    <t>Oberacker, Peter</t>
  </si>
  <si>
    <t>Ambrosio, Ralph</t>
  </si>
  <si>
    <t>Constantino, Anthony</t>
  </si>
  <si>
    <t>Gendebein, Blake</t>
  </si>
  <si>
    <t>Buller, Kailee Marie</t>
  </si>
  <si>
    <t>Gies, Aaron</t>
  </si>
  <si>
    <t>Ellman, Elissa</t>
  </si>
  <si>
    <t>Morelle, Joseph</t>
  </si>
  <si>
    <t>McIntyre, Virginia</t>
  </si>
  <si>
    <t>Hannon, Dennis</t>
  </si>
  <si>
    <t>Okpareke, Ndidiamaka Ekwua Charlene</t>
  </si>
  <si>
    <t>Cunningham, Gregory</t>
  </si>
  <si>
    <t>Zamora, Martin</t>
  </si>
  <si>
    <t>Honeycutt, Jenny Costa</t>
  </si>
  <si>
    <t>Lacore, Nancy</t>
  </si>
  <si>
    <t>Khalifa, Zion</t>
  </si>
  <si>
    <t>Wallace, Dave</t>
  </si>
  <si>
    <t>Flowers, Bernie</t>
  </si>
  <si>
    <t>McDermott, George</t>
  </si>
  <si>
    <t>Boafo, Adrian</t>
  </si>
  <si>
    <t>Chaffee, Chris</t>
  </si>
  <si>
    <t>Ficker, Robin</t>
  </si>
  <si>
    <t>Collier, Scott</t>
  </si>
  <si>
    <t>Riley, Cheryl</t>
  </si>
  <si>
    <t>McAdams, Ben</t>
  </si>
  <si>
    <t>Owen, Riley</t>
  </si>
  <si>
    <t>Crosby, Peter</t>
  </si>
  <si>
    <t>Udell, Kent</t>
  </si>
  <si>
    <t>Larsen, Johnny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</si>
</sst>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A336" workbookViewId="0">
      <selection activeCell="H404" sqref="H404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9" width="32.5" customWidth="1"/>
    <col min="10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hidden="1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f>31.2-67.5</f>
        <v>-36.299999999999997</v>
      </c>
      <c r="F2" s="3">
        <f>34.4-64.6</f>
        <v>-30.199999999999996</v>
      </c>
      <c r="G2" s="3">
        <f t="shared" ref="G2:G8" si="0">E2+6.9+1.5</f>
        <v>-27.9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f>40.8-58.1</f>
        <v>-17.300000000000004</v>
      </c>
      <c r="F3" s="3">
        <f>43.5-55.3</f>
        <v>-11.799999999999997</v>
      </c>
      <c r="G3" s="3">
        <f t="shared" si="0"/>
        <v>-8.9000000000000039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f>26.5-72.4</f>
        <v>-45.900000000000006</v>
      </c>
      <c r="F4" s="3">
        <f>29.3-69.4</f>
        <v>-40.100000000000009</v>
      </c>
      <c r="G4" s="3">
        <f t="shared" si="0"/>
        <v>-37.500000000000007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f>15.6-83.4</f>
        <v>-67.800000000000011</v>
      </c>
      <c r="F5" s="3">
        <f>17.6-81.3</f>
        <v>-63.699999999999996</v>
      </c>
      <c r="G5" s="3">
        <f t="shared" si="0"/>
        <v>-59.400000000000013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f>34.6-63.6</f>
        <v>-29</v>
      </c>
      <c r="F6" s="3">
        <f>35.4-62.5</f>
        <v>-27.1</v>
      </c>
      <c r="G6" s="3">
        <f t="shared" si="0"/>
        <v>-20.6</v>
      </c>
      <c r="H6" s="4" t="s">
        <v>818</v>
      </c>
      <c r="I6" t="s">
        <v>14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f>31.6-66.6</f>
        <v>-34.999999999999993</v>
      </c>
      <c r="F7" s="3">
        <f>31.8-66.4</f>
        <v>-34.600000000000009</v>
      </c>
      <c r="G7" s="3">
        <f t="shared" si="0"/>
        <v>-26.599999999999994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f>61.9-37.1</f>
        <v>24.799999999999997</v>
      </c>
      <c r="F8" s="3">
        <f>64.7-34.4</f>
        <v>30.300000000000004</v>
      </c>
      <c r="G8" s="3">
        <f t="shared" si="0"/>
        <v>33.199999999999996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ref="G2:G65" si="1">E9+6.9+1.5</f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1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1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1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1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1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1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1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1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1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1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1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1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1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1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1"/>
        <v>33</v>
      </c>
      <c r="H24" s="4" t="s">
        <v>37</v>
      </c>
      <c r="I24" t="s">
        <v>780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1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1"/>
        <v>22.9</v>
      </c>
      <c r="H26" s="6" t="s">
        <v>38</v>
      </c>
      <c r="J26" s="4" t="s">
        <v>811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728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1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1"/>
        <v>16.700000000000003</v>
      </c>
      <c r="H28" s="4" t="s">
        <v>781</v>
      </c>
      <c r="I28" t="s">
        <v>744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704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1"/>
        <v>21.200000000000003</v>
      </c>
      <c r="H29" t="s">
        <v>40</v>
      </c>
      <c r="J29" s="4" t="s">
        <v>782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728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1"/>
        <v>42.4</v>
      </c>
      <c r="H30" t="s">
        <v>41</v>
      </c>
      <c r="I30" s="4" t="s">
        <v>783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704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1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1"/>
        <v>41.9</v>
      </c>
      <c r="H32" t="s">
        <v>43</v>
      </c>
      <c r="I32" s="4" t="s">
        <v>810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704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1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1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1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704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1"/>
        <v>43.1</v>
      </c>
      <c r="H36" s="4" t="s">
        <v>750</v>
      </c>
      <c r="J36" s="4" t="s">
        <v>808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728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1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1"/>
        <v>56.5</v>
      </c>
      <c r="H38" t="s">
        <v>49</v>
      </c>
      <c r="I38" s="4" t="s">
        <v>812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704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1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1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704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1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1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1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1"/>
        <v>6.6000000000000005</v>
      </c>
      <c r="H44" s="4" t="s">
        <v>784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704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1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1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1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1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1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1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1"/>
        <v>42</v>
      </c>
      <c r="H51" t="s">
        <v>62</v>
      </c>
      <c r="J51" s="4" t="s">
        <v>785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728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1"/>
        <v>48.3</v>
      </c>
      <c r="H52" t="s">
        <v>63</v>
      </c>
      <c r="I52" s="4" t="s">
        <v>786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704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1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1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1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1"/>
        <v>59</v>
      </c>
      <c r="H56" t="s">
        <v>67</v>
      </c>
      <c r="J56" s="4" t="s">
        <v>787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728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1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1"/>
        <v>47.4</v>
      </c>
      <c r="H58" t="s">
        <v>69</v>
      </c>
      <c r="I58" s="4" t="s">
        <v>788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704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1"/>
        <v>68.8</v>
      </c>
      <c r="H59" t="s">
        <v>70</v>
      </c>
      <c r="J59" s="4" t="s">
        <v>789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728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1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1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1"/>
        <v>-3.7999999999999989</v>
      </c>
      <c r="I62" s="6" t="s">
        <v>758</v>
      </c>
      <c r="J62" t="s">
        <v>790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791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1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1"/>
        <v>21.5</v>
      </c>
      <c r="H64" t="s">
        <v>74</v>
      </c>
      <c r="I64" s="4" t="s">
        <v>792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704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1"/>
        <v>57.3</v>
      </c>
      <c r="H65" t="s">
        <v>75</v>
      </c>
      <c r="I65" s="4" t="s">
        <v>809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704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2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704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2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2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704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2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2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2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2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2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2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2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2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2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2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2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2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2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2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2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2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2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2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2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2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2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2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2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2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2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2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2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2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2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2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2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2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2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2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2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2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2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2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2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2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2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2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2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2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2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2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2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2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2"/>
        <v>-7.2999999999999989</v>
      </c>
      <c r="H117" s="4" t="s">
        <v>820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704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2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2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2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2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2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2"/>
        <v>-12.700000000000001</v>
      </c>
      <c r="H123" s="4" t="s">
        <v>814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2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2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2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2"/>
        <v>-15.299999999999997</v>
      </c>
      <c r="H127" s="4" t="s">
        <v>144</v>
      </c>
      <c r="I127" s="4" t="s">
        <v>813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2"/>
        <v>-5.6999999999999993</v>
      </c>
      <c r="H128" s="4" t="s">
        <v>817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2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3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3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3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3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3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3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3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3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3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3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3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3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3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3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3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3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3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3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3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3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3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3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3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3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3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3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3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3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3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3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3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3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3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3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3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3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3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3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3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3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3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3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3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3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3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3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3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3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3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3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3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3"/>
        <v>30.200000000000003</v>
      </c>
      <c r="H181" t="s">
        <v>241</v>
      </c>
      <c r="I181" s="4" t="s">
        <v>806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3"/>
        <v>-1.0999999999999996</v>
      </c>
      <c r="H182" s="4" t="s">
        <v>823</v>
      </c>
      <c r="I182" s="4" t="s">
        <v>807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3"/>
        <v>-8.4</v>
      </c>
      <c r="I183" t="s">
        <v>243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3"/>
        <v>26.700000000000003</v>
      </c>
      <c r="H184" t="s">
        <v>244</v>
      </c>
      <c r="I184" s="4" t="s">
        <v>862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3"/>
        <v>31.9</v>
      </c>
      <c r="H185" t="s">
        <v>245</v>
      </c>
      <c r="I185" s="4" t="s">
        <v>863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3"/>
        <v>81.600000000000009</v>
      </c>
      <c r="H186" t="s">
        <v>246</v>
      </c>
      <c r="I186" s="4" t="s">
        <v>864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3"/>
        <v>41.5</v>
      </c>
      <c r="H187" s="4" t="s">
        <v>865</v>
      </c>
      <c r="I187" s="4" t="s">
        <v>866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3"/>
        <v>14.100000000000001</v>
      </c>
      <c r="H188" t="s">
        <v>248</v>
      </c>
      <c r="I188" s="4" t="s">
        <v>867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3"/>
        <v>67</v>
      </c>
      <c r="H189" t="s">
        <v>249</v>
      </c>
      <c r="I189" s="4" t="s">
        <v>868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3"/>
        <v>64.199999999999989</v>
      </c>
      <c r="H190" t="s">
        <v>250</v>
      </c>
      <c r="I190" s="4" t="s">
        <v>869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3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3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3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4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4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4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4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4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4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4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4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4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4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4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4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4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4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4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4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4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4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4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4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4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4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4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4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4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4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4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4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4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4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4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4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4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4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4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4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4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4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4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4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4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4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4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4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4"/>
        <v>10.7</v>
      </c>
      <c r="H238" s="6" t="s">
        <v>305</v>
      </c>
      <c r="I238" s="4" t="s">
        <v>801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4"/>
        <v>-5.6</v>
      </c>
      <c r="H239" s="4" t="s">
        <v>803</v>
      </c>
      <c r="I239" s="4" t="s">
        <v>802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4"/>
        <v>7.7</v>
      </c>
      <c r="H240" s="6" t="s">
        <v>307</v>
      </c>
      <c r="I240" s="4" t="s">
        <v>804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4"/>
        <v>11.2</v>
      </c>
      <c r="H241" s="6" t="s">
        <v>308</v>
      </c>
      <c r="I241" s="4" t="s">
        <v>805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4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4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4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4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4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4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4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4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4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4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771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4"/>
        <v>7.3000000000000007</v>
      </c>
      <c r="H252" t="s">
        <v>319</v>
      </c>
      <c r="I252" s="4" t="s">
        <v>777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704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4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4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4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4"/>
        <v>21.3</v>
      </c>
      <c r="H256" t="s">
        <v>323</v>
      </c>
      <c r="I256" s="4" t="s">
        <v>856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704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4"/>
        <v>6.5</v>
      </c>
      <c r="H257" t="s">
        <v>324</v>
      </c>
      <c r="I257" s="4" t="s">
        <v>857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704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5">E258+6.9+1.5</f>
        <v>13.2</v>
      </c>
      <c r="H258" t="s">
        <v>325</v>
      </c>
      <c r="I258" s="4" t="s">
        <v>858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704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5"/>
        <v>-1.6999999999999993</v>
      </c>
      <c r="H259" s="4" t="s">
        <v>824</v>
      </c>
      <c r="I259" s="6" t="s">
        <v>326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704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5"/>
        <v>-5.5</v>
      </c>
      <c r="H260" s="4" t="s">
        <v>825</v>
      </c>
      <c r="I260" t="s">
        <v>327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704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5"/>
        <v>4.1000000000000005</v>
      </c>
      <c r="H261" t="s">
        <v>328</v>
      </c>
      <c r="I261" s="4" t="s">
        <v>826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704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5"/>
        <v>9.7000000000000011</v>
      </c>
      <c r="H262" t="s">
        <v>329</v>
      </c>
      <c r="I262" s="4" t="s">
        <v>827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704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5"/>
        <v>50.6</v>
      </c>
      <c r="H263" t="s">
        <v>330</v>
      </c>
      <c r="I263" s="4" t="s">
        <v>828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704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5"/>
        <v>14.8</v>
      </c>
      <c r="H264" t="s">
        <v>331</v>
      </c>
      <c r="I264" s="4" t="s">
        <v>829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704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5"/>
        <v>54.3</v>
      </c>
      <c r="H265" s="4" t="s">
        <v>830</v>
      </c>
      <c r="I265" s="4" t="s">
        <v>831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704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5"/>
        <v>52.4</v>
      </c>
      <c r="H266" t="s">
        <v>333</v>
      </c>
      <c r="I266" s="4" t="s">
        <v>832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704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5"/>
        <v>49</v>
      </c>
      <c r="H267" t="s">
        <v>334</v>
      </c>
      <c r="I267" s="4" t="s">
        <v>833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704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5"/>
        <v>68.8</v>
      </c>
      <c r="H268" s="4" t="s">
        <v>834</v>
      </c>
      <c r="I268" s="4" t="s">
        <v>835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704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5"/>
        <v>-16</v>
      </c>
      <c r="H269" s="4" t="s">
        <v>836</v>
      </c>
      <c r="I269" s="6" t="s">
        <v>336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704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5"/>
        <v>72</v>
      </c>
      <c r="H270" s="4" t="s">
        <v>837</v>
      </c>
      <c r="I270" s="6" t="s">
        <v>838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704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5"/>
        <v>67.7</v>
      </c>
      <c r="H271" s="4" t="s">
        <v>839</v>
      </c>
      <c r="I271" s="4" t="s">
        <v>840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704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5"/>
        <v>40.200000000000003</v>
      </c>
      <c r="H272" s="6" t="s">
        <v>339</v>
      </c>
      <c r="I272" s="4" t="s">
        <v>841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704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5"/>
        <v>56.699999999999996</v>
      </c>
      <c r="H273" s="6" t="s">
        <v>340</v>
      </c>
      <c r="I273" s="4" t="s">
        <v>842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704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5"/>
        <v>41.5</v>
      </c>
      <c r="H274" s="6" t="s">
        <v>341</v>
      </c>
      <c r="I274" s="4" t="s">
        <v>843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704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5"/>
        <v>9</v>
      </c>
      <c r="H275" s="4" t="s">
        <v>844</v>
      </c>
      <c r="I275" s="6" t="s">
        <v>342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704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5"/>
        <v>11.7</v>
      </c>
      <c r="H276" s="6" t="s">
        <v>343</v>
      </c>
      <c r="I276" s="4" t="s">
        <v>845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704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5"/>
        <v>10.200000000000001</v>
      </c>
      <c r="H277" s="6" t="s">
        <v>344</v>
      </c>
      <c r="I277" s="4" t="s">
        <v>846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704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5"/>
        <v>22.6</v>
      </c>
      <c r="H278" s="6" t="s">
        <v>345</v>
      </c>
      <c r="I278" s="4" t="s">
        <v>847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704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5"/>
        <v>-12.299999999999999</v>
      </c>
      <c r="H279" s="4" t="s">
        <v>849</v>
      </c>
      <c r="I279" s="4" t="s">
        <v>848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704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5"/>
        <v>16.100000000000001</v>
      </c>
      <c r="H280" s="6" t="s">
        <v>347</v>
      </c>
      <c r="I280" s="4" t="s">
        <v>850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704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5"/>
        <v>-12.6</v>
      </c>
      <c r="H281" s="4" t="s">
        <v>851</v>
      </c>
      <c r="I281" s="6" t="s">
        <v>348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704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5"/>
        <v>-14.700000000000003</v>
      </c>
      <c r="H282" s="4" t="s">
        <v>852</v>
      </c>
      <c r="I282" s="6" t="s">
        <v>349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704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5"/>
        <v>26.799999999999997</v>
      </c>
      <c r="H283" s="6" t="s">
        <v>853</v>
      </c>
      <c r="I283" s="4" t="s">
        <v>854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704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5"/>
        <v>27.700000000000003</v>
      </c>
      <c r="H284" s="6" t="s">
        <v>351</v>
      </c>
      <c r="I284" s="4" t="s">
        <v>855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704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5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5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5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5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5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5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5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5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5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5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5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5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5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5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5"/>
        <v>-28.4</v>
      </c>
      <c r="H299" s="4" t="s">
        <v>779</v>
      </c>
      <c r="I299" t="s">
        <v>778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5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5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5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5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5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5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5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5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5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5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5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5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5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5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5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5"/>
        <v>-13.1</v>
      </c>
      <c r="H315" s="4" t="s">
        <v>815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5"/>
        <v>-47.2</v>
      </c>
      <c r="H316" s="4" t="s">
        <v>816</v>
      </c>
      <c r="I316" t="s">
        <v>414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5"/>
        <v>-36.4</v>
      </c>
      <c r="H317" s="4" t="s">
        <v>819</v>
      </c>
      <c r="I317" t="s">
        <v>415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5"/>
        <v>-24.5</v>
      </c>
      <c r="H318" s="4" t="s">
        <v>821</v>
      </c>
      <c r="I318" t="s">
        <v>416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5"/>
        <v>-9.7999999999999989</v>
      </c>
      <c r="H319" s="4" t="s">
        <v>822</v>
      </c>
      <c r="I319" t="s">
        <v>417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5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5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6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6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6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6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6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6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6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6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6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6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6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6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6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6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6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6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6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6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6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6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6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6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6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6"/>
        <v>-4.6999999999999993</v>
      </c>
      <c r="H345" s="4" t="s">
        <v>860</v>
      </c>
      <c r="I345" s="4" t="s">
        <v>859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6"/>
        <v>-5.6</v>
      </c>
      <c r="H346" s="4" t="s">
        <v>861</v>
      </c>
      <c r="I346" t="s">
        <v>467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6"/>
        <v>-34.6</v>
      </c>
      <c r="H347" s="4" t="s">
        <v>795</v>
      </c>
      <c r="I347" t="s">
        <v>794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6"/>
        <v>-15.200000000000003</v>
      </c>
      <c r="H348" s="4" t="s">
        <v>796</v>
      </c>
      <c r="I348" t="s">
        <v>469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6"/>
        <v>-14.4</v>
      </c>
      <c r="H349" s="4" t="s">
        <v>797</v>
      </c>
      <c r="I349" s="4" t="s">
        <v>798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703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6"/>
        <v>31.200000000000003</v>
      </c>
      <c r="H350" s="6" t="s">
        <v>471</v>
      </c>
      <c r="I350" s="4" t="s">
        <v>799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6"/>
        <v>-18</v>
      </c>
      <c r="H351" s="4" t="s">
        <v>800</v>
      </c>
      <c r="I351" t="s">
        <v>472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6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6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6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6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6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6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6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6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6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6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6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6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6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6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6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6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6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6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6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6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6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6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6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6"/>
        <v>-15.799999999999997</v>
      </c>
      <c r="H375" s="4" t="s">
        <v>793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6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6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6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6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6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6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6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6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6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6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7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7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7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7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7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7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7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7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7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7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7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7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7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7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7"/>
        <v>32</v>
      </c>
      <c r="H400" s="4" t="s">
        <v>870</v>
      </c>
      <c r="I400" s="4" t="s">
        <v>871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7"/>
        <v>-20.5</v>
      </c>
      <c r="H401" s="4" t="s">
        <v>872</v>
      </c>
      <c r="I401" s="6" t="s">
        <v>570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7"/>
        <v>-32.9</v>
      </c>
      <c r="H402" s="4" t="s">
        <v>873</v>
      </c>
      <c r="I402" s="6" t="s">
        <v>571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7"/>
        <v>-24</v>
      </c>
      <c r="H403" s="4" t="s">
        <v>874</v>
      </c>
      <c r="I403" s="6" t="s">
        <v>572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7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7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7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7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7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7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7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7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7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7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7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7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7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7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7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7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7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7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7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7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7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7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7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7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7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7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7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7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7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7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7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7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7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1 E376 E437:G1048576 E377:F436 E9:F375 G9:G436 K1:M1">
    <cfRule type="colorScale" priority="3">
      <colorScale>
        <cfvo type="min"/>
        <cfvo type="num" val="0"/>
        <cfvo type="max"/>
        <color rgb="FFF8696B"/>
        <color rgb="FFFCFCFF"/>
        <color rgb="FF5A8AC6"/>
      </colorScale>
    </cfRule>
  </conditionalFormatting>
  <conditionalFormatting sqref="E2:F8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conditionalFormatting sqref="G2:G8">
    <cfRule type="colorScale" priority="2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2026-06-24T08:09:17Z</dcterms:modified>
</cp:coreProperties>
</file>