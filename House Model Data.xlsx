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yelin/Desktop/Desktop - Ben’s MacBook Air/house_model_python/"/>
    </mc:Choice>
  </mc:AlternateContent>
  <xr:revisionPtr revIDLastSave="0" documentId="13_ncr:2001_{EE18D553-BA91-8144-86B9-DEEDDF477CF6}" xr6:coauthVersionLast="47" xr6:coauthVersionMax="47" xr10:uidLastSave="{00000000-0000-0000-0000-000000000000}"/>
  <bookViews>
    <workbookView xWindow="1460" yWindow="1540" windowWidth="27640" windowHeight="16940" xr2:uid="{9CA4CF23-00BE-4A4E-B0A3-B27FE202FE9A}"/>
  </bookViews>
  <sheets>
    <sheet name="House Model Data" sheetId="1" r:id="rId1"/>
    <sheet name="Sheet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E8" i="1"/>
  <c r="F7" i="1"/>
  <c r="E7" i="1"/>
  <c r="F6" i="1"/>
  <c r="E6" i="1"/>
  <c r="F5" i="1"/>
  <c r="E5" i="1"/>
  <c r="F4" i="1"/>
  <c r="E4" i="1"/>
  <c r="F3" i="1"/>
  <c r="E3" i="1"/>
  <c r="F2" i="1"/>
  <c r="E2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F378" i="1"/>
  <c r="E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F278" i="1"/>
  <c r="E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 l="1"/>
  <c r="G6" i="1"/>
  <c r="G5" i="1"/>
  <c r="G4" i="1"/>
  <c r="G3" i="1"/>
  <c r="G2" i="1"/>
  <c r="G7" i="1"/>
  <c r="G361" i="1"/>
  <c r="G112" i="1"/>
  <c r="G414" i="1"/>
  <c r="G358" i="1"/>
  <c r="G278" i="1"/>
  <c r="G178" i="1"/>
  <c r="G175" i="1"/>
  <c r="G114" i="1"/>
  <c r="G113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415" i="1"/>
  <c r="G413" i="1"/>
  <c r="G412" i="1"/>
  <c r="G411" i="1"/>
  <c r="G410" i="1"/>
  <c r="G409" i="1"/>
  <c r="G408" i="1"/>
  <c r="G407" i="1"/>
  <c r="G406" i="1"/>
  <c r="G405" i="1"/>
  <c r="G378" i="1"/>
  <c r="G360" i="1"/>
  <c r="G359" i="1"/>
  <c r="G357" i="1"/>
  <c r="G356" i="1"/>
  <c r="G355" i="1"/>
  <c r="G354" i="1"/>
  <c r="G353" i="1"/>
  <c r="G180" i="1"/>
  <c r="G179" i="1"/>
  <c r="G177" i="1"/>
  <c r="G176" i="1"/>
  <c r="G116" i="1"/>
  <c r="G1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tc={64FF4A2E-41B6-D242-BD56-86F00F3F130C}</author>
    <author>tc={18A1CF58-6C0E-9E48-9702-50C9E9EAC915}</author>
  </authors>
  <commentList>
    <comment ref="N1" authorId="0" shapeId="0" xr:uid="{64FF4A2E-41B6-D242-BD56-86F00F3F130C}">
      <text>
        <t>[Threaded comment]
Your version of Excel allows you to read this threaded comment; however, any edits to it will get removed if the file is opened in a newer version of Excel. Learn more: https://go.microsoft.com/fwlink/?linkid=870924
Comment:
    Low: &lt;25%
Medium: 25-35%
High: 35-45%
Very High: &gt;45%</t>
      </text>
    </comment>
    <comment ref="O1" authorId="1" shapeId="0" xr:uid="{18A1CF58-6C0E-9E48-9702-50C9E9EAC9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Low=&lt;45%
Medium=45-60%
High=60-75%
Very High: &gt;75%</t>
      </text>
    </comment>
  </commentList>
</comments>
</file>

<file path=xl/sharedStrings.xml><?xml version="1.0" encoding="utf-8"?>
<sst xmlns="http://schemas.openxmlformats.org/spreadsheetml/2006/main" count="5350" uniqueCount="886">
  <si>
    <t>State</t>
  </si>
  <si>
    <t>District</t>
  </si>
  <si>
    <t>Incumbent</t>
  </si>
  <si>
    <t>2024 Margin</t>
  </si>
  <si>
    <t>2020 Margin</t>
  </si>
  <si>
    <t>GenBallot Adjusted Margin</t>
  </si>
  <si>
    <t>Dem Candidate</t>
  </si>
  <si>
    <t>GOP Candidate</t>
  </si>
  <si>
    <t>Moore, Barry</t>
  </si>
  <si>
    <t>Figures, Shomari</t>
  </si>
  <si>
    <t>Rogers, Mike</t>
  </si>
  <si>
    <t>McGinnis, Lee</t>
  </si>
  <si>
    <t>Aderholt, Robert</t>
  </si>
  <si>
    <t>Pusczek, Amanda</t>
  </si>
  <si>
    <t>Strong, Dale</t>
  </si>
  <si>
    <t>Palmer, Gary</t>
  </si>
  <si>
    <t>Sewell, Terri</t>
  </si>
  <si>
    <t>AL</t>
  </si>
  <si>
    <t>Begich, Nick</t>
  </si>
  <si>
    <t>Schweikert, David</t>
  </si>
  <si>
    <t>Crane, Eli</t>
  </si>
  <si>
    <t>Ansari, Yassamin</t>
  </si>
  <si>
    <t>Stanton, Greg</t>
  </si>
  <si>
    <t>Biggs, Andy</t>
  </si>
  <si>
    <t>Ciscomani, Juan</t>
  </si>
  <si>
    <t>Grijalva, Adelita</t>
  </si>
  <si>
    <t>Hamadeh, Abe</t>
  </si>
  <si>
    <t>Gosar, Paul</t>
  </si>
  <si>
    <t>Crawford, Rick</t>
  </si>
  <si>
    <t>Yarbrough Green, Terri</t>
  </si>
  <si>
    <t>Hill, French</t>
  </si>
  <si>
    <t>Jones, Chris</t>
  </si>
  <si>
    <t>Womack, Steve</t>
  </si>
  <si>
    <t>Ryerse, Robb</t>
  </si>
  <si>
    <t>Westerman, Bruce</t>
  </si>
  <si>
    <t>Russell, James</t>
  </si>
  <si>
    <t>NONE</t>
  </si>
  <si>
    <t>Huffman, Jared</t>
  </si>
  <si>
    <t>Thompson, Mike</t>
  </si>
  <si>
    <t>McClintock, Tom</t>
  </si>
  <si>
    <t>Matsui, Doris</t>
  </si>
  <si>
    <t>Garamendi, John</t>
  </si>
  <si>
    <t>Harder, Josh</t>
  </si>
  <si>
    <t>DeSaulnier, Mark</t>
  </si>
  <si>
    <t>Pelosi, Nancy</t>
  </si>
  <si>
    <t>Simon, Lateefah</t>
  </si>
  <si>
    <t>Gray, Adam</t>
  </si>
  <si>
    <t>VACANT</t>
  </si>
  <si>
    <t>Mullin, Kevin</t>
  </si>
  <si>
    <t>Liccardo, Sam</t>
  </si>
  <si>
    <t>Khanna, Ro</t>
  </si>
  <si>
    <t>Lofgren, Zoe</t>
  </si>
  <si>
    <t>Panetta, Jimmy</t>
  </si>
  <si>
    <t>Fong, Vince</t>
  </si>
  <si>
    <t>Costa, Jim</t>
  </si>
  <si>
    <t>Valadao, David</t>
  </si>
  <si>
    <t>Obernolte, Jay</t>
  </si>
  <si>
    <t>Carbajal, Salud</t>
  </si>
  <si>
    <t>Ruiz, Raul</t>
  </si>
  <si>
    <t>Brownley, Julia</t>
  </si>
  <si>
    <t>Whitesides, George</t>
  </si>
  <si>
    <t>Chu, Judy</t>
  </si>
  <si>
    <t>Rivas, Luz</t>
  </si>
  <si>
    <t>Friedman, Laura</t>
  </si>
  <si>
    <t>Cisneros, Gil</t>
  </si>
  <si>
    <t>Sherman, Brad</t>
  </si>
  <si>
    <t>Aguilar, Pete</t>
  </si>
  <si>
    <t>Gomez, Jimmy</t>
  </si>
  <si>
    <t>Torres, Norma</t>
  </si>
  <si>
    <t>Lieu, Ted</t>
  </si>
  <si>
    <t>Kamlager-Dove, Sydney</t>
  </si>
  <si>
    <t>Takano, Mark</t>
  </si>
  <si>
    <t>Kim, Young/Calvert, Ken</t>
  </si>
  <si>
    <t>Sanchez, Linda</t>
  </si>
  <si>
    <t>Garcia, Robert</t>
  </si>
  <si>
    <t>Waters, Maxine</t>
  </si>
  <si>
    <t>Barragan, Nanette</t>
  </si>
  <si>
    <t>Tran, Derek</t>
  </si>
  <si>
    <t>Correa, Lou</t>
  </si>
  <si>
    <t>Min, David</t>
  </si>
  <si>
    <t>Issa, Darrell</t>
  </si>
  <si>
    <t>Levin, Mike</t>
  </si>
  <si>
    <t>Peters, Scott</t>
  </si>
  <si>
    <t>Jacobs, Sara</t>
  </si>
  <si>
    <t>Vargas, Juan</t>
  </si>
  <si>
    <t>DeGette, Diane</t>
  </si>
  <si>
    <t>Neguse, Joe</t>
  </si>
  <si>
    <t>Hurd, Jeff</t>
  </si>
  <si>
    <t>Boebert, Lauren</t>
  </si>
  <si>
    <t>Crank, Jeff</t>
  </si>
  <si>
    <t>Crow, Jason</t>
  </si>
  <si>
    <t>Pettersen, Brittany</t>
  </si>
  <si>
    <t>Evans, Gabe</t>
  </si>
  <si>
    <t>Larson, John</t>
  </si>
  <si>
    <t>Courtney, Joe</t>
  </si>
  <si>
    <t>DeLauro, Rosa</t>
  </si>
  <si>
    <t>Himes, Jim</t>
  </si>
  <si>
    <t>Hayes, Jahana</t>
  </si>
  <si>
    <t>McBride, Sarah</t>
  </si>
  <si>
    <t>Patronis, Jimmy</t>
  </si>
  <si>
    <t>Dunn, Neal</t>
  </si>
  <si>
    <t>Cammack, Kat</t>
  </si>
  <si>
    <t>Bean, Aaron</t>
  </si>
  <si>
    <t>Rutherford, John</t>
  </si>
  <si>
    <t>Fine, Randy</t>
  </si>
  <si>
    <t>Mills, Cory</t>
  </si>
  <si>
    <t>Haridopolos, Mike</t>
  </si>
  <si>
    <t>Soto, Darren</t>
  </si>
  <si>
    <t>Frost, Maxwell</t>
  </si>
  <si>
    <t>Webster, Daniel</t>
  </si>
  <si>
    <t>Bilirakis, Gus</t>
  </si>
  <si>
    <t>Luna, Anna Paulina</t>
  </si>
  <si>
    <t>Castor, Kathy</t>
  </si>
  <si>
    <t>Lee, Laurel</t>
  </si>
  <si>
    <t>Buchanan, Vern</t>
  </si>
  <si>
    <t>Steube, Greg</t>
  </si>
  <si>
    <t>Franklin, C. Scott</t>
  </si>
  <si>
    <t>Donalds, Byron</t>
  </si>
  <si>
    <t>Mast, Brian</t>
  </si>
  <si>
    <t>Frankel, Lois</t>
  </si>
  <si>
    <t>Moskowitz, Jared</t>
  </si>
  <si>
    <t>Wilson, Frederica</t>
  </si>
  <si>
    <t>Wasserman-Schultz, Debbie</t>
  </si>
  <si>
    <t>Diaz-Balart, Mario</t>
  </si>
  <si>
    <t>Salazar, Maria Elvira</t>
  </si>
  <si>
    <t>Gimenez, Carlos</t>
  </si>
  <si>
    <t>Carter, Buddy</t>
  </si>
  <si>
    <t>Bishop, Sanford</t>
  </si>
  <si>
    <t>Day, Matt</t>
  </si>
  <si>
    <t>Jack, Brian</t>
  </si>
  <si>
    <t>Keller, Maura</t>
  </si>
  <si>
    <t>Johnson, Hank</t>
  </si>
  <si>
    <t>Duffie, Jim</t>
  </si>
  <si>
    <t>Williams, Nikema</t>
  </si>
  <si>
    <t>Salveson, John</t>
  </si>
  <si>
    <t>McBath, Lucy</t>
  </si>
  <si>
    <t>McCormick, Rich</t>
  </si>
  <si>
    <t>Scott, Austin</t>
  </si>
  <si>
    <t>Esti, Kelly</t>
  </si>
  <si>
    <t>Clyde, Andrew</t>
  </si>
  <si>
    <t>Gegen, Caitlyn</t>
  </si>
  <si>
    <t>Collins, Mike</t>
  </si>
  <si>
    <t>Gaines, Houston</t>
  </si>
  <si>
    <t>Loudermilk, Barry</t>
  </si>
  <si>
    <t>Harden, Chris</t>
  </si>
  <si>
    <t>Allen, Rick</t>
  </si>
  <si>
    <t>Clarke, Jasmine</t>
  </si>
  <si>
    <t>Chavez, Jonathan</t>
  </si>
  <si>
    <t>Fuller, Clay</t>
  </si>
  <si>
    <t>Harris, Shawn</t>
  </si>
  <si>
    <t>Case, Ed</t>
  </si>
  <si>
    <t>Tokuda, Jill</t>
  </si>
  <si>
    <t>Fulcher, Russ</t>
  </si>
  <si>
    <t>Peterson, Kaylee</t>
  </si>
  <si>
    <t>Simpson, Mike</t>
  </si>
  <si>
    <t>Gilbreath, Ellie</t>
  </si>
  <si>
    <t>Jackson, Jonathan</t>
  </si>
  <si>
    <t>Maxwell, Christian</t>
  </si>
  <si>
    <t>Kelly, Robyn</t>
  </si>
  <si>
    <t>Miller, Donna</t>
  </si>
  <si>
    <t>Noack, Michael Scott</t>
  </si>
  <si>
    <t>Ramirez, Delia</t>
  </si>
  <si>
    <t>Oakley, Angel</t>
  </si>
  <si>
    <t>Garcia, Chuy</t>
  </si>
  <si>
    <t>Garcia, Patty</t>
  </si>
  <si>
    <t>Castillo, Lupe</t>
  </si>
  <si>
    <t>Quigley, Mike</t>
  </si>
  <si>
    <t>Hanson, Tommy</t>
  </si>
  <si>
    <t>Casten, Sean</t>
  </si>
  <si>
    <t>Conforti, Niki</t>
  </si>
  <si>
    <t>Davis, Danny</t>
  </si>
  <si>
    <t>Ford, La Shawn</t>
  </si>
  <si>
    <t>Koppie, Chad</t>
  </si>
  <si>
    <t>Krishnamoorthi, Raja</t>
  </si>
  <si>
    <t>Bean, Melissa</t>
  </si>
  <si>
    <t>Davis, Jennifer</t>
  </si>
  <si>
    <t>Schakowsky, Jan</t>
  </si>
  <si>
    <t>Biss, Daniel</t>
  </si>
  <si>
    <t>Elleson, John</t>
  </si>
  <si>
    <t>Schneider, Brad</t>
  </si>
  <si>
    <t>Lambrecht, Carl</t>
  </si>
  <si>
    <t>Foster, Bill</t>
  </si>
  <si>
    <t>Walter, Jeff</t>
  </si>
  <si>
    <t>Bost, Mike</t>
  </si>
  <si>
    <t>Fortier, Julie</t>
  </si>
  <si>
    <t>Budzinski, Nikki</t>
  </si>
  <si>
    <t>Wilson, Jeff</t>
  </si>
  <si>
    <t>Underwood, Lauren</t>
  </si>
  <si>
    <t>Marter, James</t>
  </si>
  <si>
    <t>Miller, Mary</t>
  </si>
  <si>
    <t>Todd, Jennifer</t>
  </si>
  <si>
    <t>LaHood, Darin</t>
  </si>
  <si>
    <t>Nolley, Paul</t>
  </si>
  <si>
    <t>Sorensen, Eric</t>
  </si>
  <si>
    <t>Vancil, Dillan</t>
  </si>
  <si>
    <t>Mrvan, Frank</t>
  </si>
  <si>
    <t>Regnitz, Barb</t>
  </si>
  <si>
    <t>Yakym, Rudy</t>
  </si>
  <si>
    <t>Decio, Jamie</t>
  </si>
  <si>
    <t>Stutzman, Marlin</t>
  </si>
  <si>
    <t>Thompson, Kelly</t>
  </si>
  <si>
    <t>Baird, Jim</t>
  </si>
  <si>
    <t>Cox, Drew</t>
  </si>
  <si>
    <t>Spartz, Victoria</t>
  </si>
  <si>
    <t>Ford, J.D.</t>
  </si>
  <si>
    <t>Shreve, Jefferson</t>
  </si>
  <si>
    <t>Wirth, Cynthia</t>
  </si>
  <si>
    <t>Carson, Andre</t>
  </si>
  <si>
    <t>McAuley, Patrick</t>
  </si>
  <si>
    <t>Messmer, Mark</t>
  </si>
  <si>
    <t>Allen, Mary</t>
  </si>
  <si>
    <t>Houchin, Erin</t>
  </si>
  <si>
    <t>Meyer, Brad</t>
  </si>
  <si>
    <t>Miller-Meerks, Mariannette</t>
  </si>
  <si>
    <t>Hinson, Ashley</t>
  </si>
  <si>
    <t>Nunn, Zach</t>
  </si>
  <si>
    <t>Feenstra, Randy</t>
  </si>
  <si>
    <t>Mann, Tracey</t>
  </si>
  <si>
    <t>Schmidt, Derek</t>
  </si>
  <si>
    <t>Davids, Sharice</t>
  </si>
  <si>
    <t>Estes, Ron</t>
  </si>
  <si>
    <t>Comer, James</t>
  </si>
  <si>
    <t>Williams, John</t>
  </si>
  <si>
    <t>Guthrie, Brett</t>
  </si>
  <si>
    <t>Wingfield, Megan</t>
  </si>
  <si>
    <t>McGarvey, Morgan</t>
  </si>
  <si>
    <t>Rodriguez, Maria</t>
  </si>
  <si>
    <t>Massie, Thomas</t>
  </si>
  <si>
    <t>Strange, Melissa</t>
  </si>
  <si>
    <t>Gallrein, Ed</t>
  </si>
  <si>
    <t>Rogers, Hal</t>
  </si>
  <si>
    <t>Pillersdorf, Ned</t>
  </si>
  <si>
    <t>Barr, Andy</t>
  </si>
  <si>
    <t>Dembo, Zach</t>
  </si>
  <si>
    <t>Alvarado, Ralph</t>
  </si>
  <si>
    <t>Scalise, Steve</t>
  </si>
  <si>
    <t>Carter, Troy</t>
  </si>
  <si>
    <t>Higgins, Clay</t>
  </si>
  <si>
    <t>Johnson, Mike</t>
  </si>
  <si>
    <t>Letlow, Julia</t>
  </si>
  <si>
    <t>Fields, Cleo</t>
  </si>
  <si>
    <t>Pingree, Chellie</t>
  </si>
  <si>
    <t>Golden, Jared</t>
  </si>
  <si>
    <t>Harris, Andy</t>
  </si>
  <si>
    <t>Olszewski, Johnny</t>
  </si>
  <si>
    <t>Elfreth, Sarah</t>
  </si>
  <si>
    <t>Ivey, Glenn</t>
  </si>
  <si>
    <t>Hoyer, Steny</t>
  </si>
  <si>
    <t>McClain Delaney, April</t>
  </si>
  <si>
    <t>Mfume, Kwesi</t>
  </si>
  <si>
    <t>Raskin, Jamie</t>
  </si>
  <si>
    <t>Neal, Richard</t>
  </si>
  <si>
    <t>Trahan, Lori</t>
  </si>
  <si>
    <t>Auchincloss, Jake</t>
  </si>
  <si>
    <t>Clark, Katherine</t>
  </si>
  <si>
    <t>Moulton, Seth</t>
  </si>
  <si>
    <t>Pressley, Ayanna</t>
  </si>
  <si>
    <t>Lynch, Stephen</t>
  </si>
  <si>
    <t>Keating, Bill</t>
  </si>
  <si>
    <t>Bergman, Jack</t>
  </si>
  <si>
    <t>Moolenaar, John</t>
  </si>
  <si>
    <t>Scholten, Hillary</t>
  </si>
  <si>
    <t>Huizenga, Bill</t>
  </si>
  <si>
    <t>Walberg, Tim</t>
  </si>
  <si>
    <t>Dingell, Debbie</t>
  </si>
  <si>
    <t>Barrett, Tom</t>
  </si>
  <si>
    <t>McDonald Rivet, Kristen</t>
  </si>
  <si>
    <t>McClain, Lisa</t>
  </si>
  <si>
    <t>James, John</t>
  </si>
  <si>
    <t>Stevens, Haley</t>
  </si>
  <si>
    <t>Tlaib, Rashida</t>
  </si>
  <si>
    <t>Thanedar, Shri</t>
  </si>
  <si>
    <t>Finstad, Brad</t>
  </si>
  <si>
    <t>Craig, Angie</t>
  </si>
  <si>
    <t>Morrison, Kelly</t>
  </si>
  <si>
    <t>McCollum, Betty</t>
  </si>
  <si>
    <t>Omar, Ilhan</t>
  </si>
  <si>
    <t>Emmer, Tom</t>
  </si>
  <si>
    <t>Fishbach, Michelle</t>
  </si>
  <si>
    <t>Stauber, Pete</t>
  </si>
  <si>
    <t>Kelly, Trent</t>
  </si>
  <si>
    <t>Johnson, Cliff</t>
  </si>
  <si>
    <t>Thompson, Bennie</t>
  </si>
  <si>
    <t>Eller, Ron</t>
  </si>
  <si>
    <t>Guest, Michael</t>
  </si>
  <si>
    <t>Chiaradio, Michael</t>
  </si>
  <si>
    <t>Ezell, Mike</t>
  </si>
  <si>
    <t>Hulum, Jeffrey</t>
  </si>
  <si>
    <t>Bell, Wesley</t>
  </si>
  <si>
    <t>Wagner, Ann</t>
  </si>
  <si>
    <t>Onder, Bob</t>
  </si>
  <si>
    <t>Alford, Mark</t>
  </si>
  <si>
    <t>Cleaver, Emanuel</t>
  </si>
  <si>
    <t>Graves, Sam</t>
  </si>
  <si>
    <t>Burlison, Eric</t>
  </si>
  <si>
    <t>Smith, Jason</t>
  </si>
  <si>
    <t>Zinke, Ryan</t>
  </si>
  <si>
    <t>Downing, Troy</t>
  </si>
  <si>
    <t>Flood, Mike</t>
  </si>
  <si>
    <t>Backemeyer, Chris</t>
  </si>
  <si>
    <t>Bacon, Don</t>
  </si>
  <si>
    <t>Powell, Denise</t>
  </si>
  <si>
    <t>Harding, Brinker</t>
  </si>
  <si>
    <t>Smith, Adrian</t>
  </si>
  <si>
    <t>Stille, Becky Kelly</t>
  </si>
  <si>
    <t>Titus, Dina</t>
  </si>
  <si>
    <t>Amodei, Mark</t>
  </si>
  <si>
    <t>Lee, Susie</t>
  </si>
  <si>
    <t>Horsford, Steven</t>
  </si>
  <si>
    <t>Pappas, Chris</t>
  </si>
  <si>
    <t>Goodlander, Maggie</t>
  </si>
  <si>
    <t>Norcross, Donald</t>
  </si>
  <si>
    <t>Van Drew, Jeff</t>
  </si>
  <si>
    <t>Conaway, Herb</t>
  </si>
  <si>
    <t>Smith, Chris</t>
  </si>
  <si>
    <t>Gottheimer, Josh</t>
  </si>
  <si>
    <t>Pallone, Frank</t>
  </si>
  <si>
    <t>Kean, Tom</t>
  </si>
  <si>
    <t>Menendez, Rob</t>
  </si>
  <si>
    <t>Pou, Nellie</t>
  </si>
  <si>
    <t>McIver, LaMonica</t>
  </si>
  <si>
    <t>OPEN</t>
  </si>
  <si>
    <t>Coleman, Bonnie Watson</t>
  </si>
  <si>
    <t>Stansbury, Melanie</t>
  </si>
  <si>
    <t>Vazquez, Gabriel</t>
  </si>
  <si>
    <t>Fernandez, Teresa Leger</t>
  </si>
  <si>
    <t>LaLota, Nick</t>
  </si>
  <si>
    <t>Garbarino, Andrew</t>
  </si>
  <si>
    <t>Suozzi, Tom</t>
  </si>
  <si>
    <t>Gillen, Laura</t>
  </si>
  <si>
    <t>Meeks, Gregory</t>
  </si>
  <si>
    <t>Meng, Grace</t>
  </si>
  <si>
    <t>Velazquez, Nydia</t>
  </si>
  <si>
    <t>Jeffries, Hakeem</t>
  </si>
  <si>
    <t>Clarke, Yvette</t>
  </si>
  <si>
    <t>Goldman, Dan</t>
  </si>
  <si>
    <t>Malliotakis, Nicole</t>
  </si>
  <si>
    <t>Nadler, Jerrold</t>
  </si>
  <si>
    <t>Espaillat, Adriano</t>
  </si>
  <si>
    <t>Ocasio-Cortez, Alexandria</t>
  </si>
  <si>
    <t>Torres, Richie</t>
  </si>
  <si>
    <t>Latimer, George</t>
  </si>
  <si>
    <t>Lawler, Mike</t>
  </si>
  <si>
    <t>Ryan, Pat</t>
  </si>
  <si>
    <t>Riley, Josh</t>
  </si>
  <si>
    <t>Tonko, Paul</t>
  </si>
  <si>
    <t>Stefanik, Elise</t>
  </si>
  <si>
    <t>Mannion, John</t>
  </si>
  <si>
    <t>Langworthy, Nick</t>
  </si>
  <si>
    <t>Tenney, Claudia</t>
  </si>
  <si>
    <t>Morelle, Joe</t>
  </si>
  <si>
    <t>Kennedy, Tim</t>
  </si>
  <si>
    <t>Davis, Don</t>
  </si>
  <si>
    <t>Buckhout, Laurie</t>
  </si>
  <si>
    <t>Ross, Deborah</t>
  </si>
  <si>
    <t>Douglass, Eugene</t>
  </si>
  <si>
    <t>Murphy, Greg</t>
  </si>
  <si>
    <t>Smith, Raymond</t>
  </si>
  <si>
    <t>Foushee, Valerie</t>
  </si>
  <si>
    <t>Ganorkar, Mahesh</t>
  </si>
  <si>
    <t>Foxx, Virginia</t>
  </si>
  <si>
    <t>Hubbard, Chuck</t>
  </si>
  <si>
    <t>McDowell, Addison</t>
  </si>
  <si>
    <t>Jefferson, Cyril</t>
  </si>
  <si>
    <t>Rouzer, David</t>
  </si>
  <si>
    <t>Hardy, Kimberly</t>
  </si>
  <si>
    <t>Rouzer, Davis</t>
  </si>
  <si>
    <t>Harris, Mark</t>
  </si>
  <si>
    <t>Watson, Colby</t>
  </si>
  <si>
    <t>Hudson, Richard</t>
  </si>
  <si>
    <t>Ojeda, Richard</t>
  </si>
  <si>
    <t>Harrigan, Pat</t>
  </si>
  <si>
    <t>Bell, Ashley</t>
  </si>
  <si>
    <t xml:space="preserve">Edwards, Chuck </t>
  </si>
  <si>
    <t>Ager, Jamie</t>
  </si>
  <si>
    <t>Edwards, Chuck</t>
  </si>
  <si>
    <t>Adams, Alma</t>
  </si>
  <si>
    <t>Codiga, Jack</t>
  </si>
  <si>
    <t>Knott, Brad</t>
  </si>
  <si>
    <t>Barringer, Paul</t>
  </si>
  <si>
    <t>Moore, Tim</t>
  </si>
  <si>
    <t>Womack, Lakesha</t>
  </si>
  <si>
    <t>Fedrochak, Julie</t>
  </si>
  <si>
    <t>Landsman, Greg</t>
  </si>
  <si>
    <t>Conroy, Eric</t>
  </si>
  <si>
    <t>Taylor, David</t>
  </si>
  <si>
    <t>Mazzuckelli, Jen</t>
  </si>
  <si>
    <t>Beatty, Joyce</t>
  </si>
  <si>
    <t>Dulaney, Cleophus</t>
  </si>
  <si>
    <t>Jordan, Jim</t>
  </si>
  <si>
    <t>Kolasinski, Joshua</t>
  </si>
  <si>
    <t>Latta, Bob</t>
  </si>
  <si>
    <t>Shaver, Brian</t>
  </si>
  <si>
    <t>Rulli, Michael</t>
  </si>
  <si>
    <t>Kirtley, Elizabeth</t>
  </si>
  <si>
    <t>Miller, Max</t>
  </si>
  <si>
    <t>Poindexter, Brian</t>
  </si>
  <si>
    <t>Davidson, Warren</t>
  </si>
  <si>
    <t>Enoch, Vanessa</t>
  </si>
  <si>
    <t>Kaptur, Marcy</t>
  </si>
  <si>
    <t>Merrin, Derek</t>
  </si>
  <si>
    <t>Turner, Michael</t>
  </si>
  <si>
    <t>Knickerbocker, Chrstina</t>
  </si>
  <si>
    <t>Brown, Shontel</t>
  </si>
  <si>
    <t>Kirchner, Mike</t>
  </si>
  <si>
    <t>Balderson, Troy</t>
  </si>
  <si>
    <t>Christian, Jerrad</t>
  </si>
  <si>
    <t>Sykes, Emilia</t>
  </si>
  <si>
    <t>Coleman, Carey</t>
  </si>
  <si>
    <t>Joyce, David</t>
  </si>
  <si>
    <t>Jukic, Maria</t>
  </si>
  <si>
    <t>Carey, Mike</t>
  </si>
  <si>
    <t>Leonard, Don</t>
  </si>
  <si>
    <t>Hern, Kevin</t>
  </si>
  <si>
    <t>Brecheen, Josh</t>
  </si>
  <si>
    <t>Lucas, Frank</t>
  </si>
  <si>
    <t>Cole, Tom</t>
  </si>
  <si>
    <t>Bice, Stephanie</t>
  </si>
  <si>
    <t>Bonamici, Suzanne</t>
  </si>
  <si>
    <t>Kahl, Barbara</t>
  </si>
  <si>
    <t>Bentz, Cliff</t>
  </si>
  <si>
    <t>Beck, Chris</t>
  </si>
  <si>
    <t>Dexter, Maxine</t>
  </si>
  <si>
    <t>Ayles, Loran</t>
  </si>
  <si>
    <t>Hoyle, Val</t>
  </si>
  <si>
    <t>DeSpain, Monique</t>
  </si>
  <si>
    <t>Bynum, Janelle</t>
  </si>
  <si>
    <t>Adair, Patti</t>
  </si>
  <si>
    <t>Salinas, Andrea</t>
  </si>
  <si>
    <t>Russ, David</t>
  </si>
  <si>
    <t>Fitzpatrick, Brian</t>
  </si>
  <si>
    <t>Harvie, Bob</t>
  </si>
  <si>
    <t>Boyle, Brendan</t>
  </si>
  <si>
    <t>Arriaga, Jessica</t>
  </si>
  <si>
    <t>Evans, Dwight</t>
  </si>
  <si>
    <t>Rabb, Chris</t>
  </si>
  <si>
    <t>Dean, Madeline</t>
  </si>
  <si>
    <t>Stutski, Aurora</t>
  </si>
  <si>
    <t>Scanlon, Mary Gay</t>
  </si>
  <si>
    <t>Mangarano, Nick</t>
  </si>
  <si>
    <t>Houlahan, Chrissy</t>
  </si>
  <si>
    <t>Young, Marty</t>
  </si>
  <si>
    <t>Mackenzie, Ryan</t>
  </si>
  <si>
    <t>Brooks, Bob</t>
  </si>
  <si>
    <t>Bresnahan, Rob</t>
  </si>
  <si>
    <t>Cognetti, Paige</t>
  </si>
  <si>
    <t>Meuser, Dan</t>
  </si>
  <si>
    <t>Wallace, Rachel</t>
  </si>
  <si>
    <t>Perry, Scott</t>
  </si>
  <si>
    <t>Stelson, Janelle</t>
  </si>
  <si>
    <t>Smucker, Lloyd</t>
  </si>
  <si>
    <t>Mannion, Nancy</t>
  </si>
  <si>
    <t>Lee, Summer</t>
  </si>
  <si>
    <t>Hayes, James</t>
  </si>
  <si>
    <t>Joyce, John</t>
  </si>
  <si>
    <t>Farnham, Beth</t>
  </si>
  <si>
    <t>Reschenthaler, Guy</t>
  </si>
  <si>
    <t>Bradstock, Alan</t>
  </si>
  <si>
    <t>Thompson, Glenn</t>
  </si>
  <si>
    <t>Bilger, Ray</t>
  </si>
  <si>
    <t>Kelly, Mike</t>
  </si>
  <si>
    <t>Wagner, Justin</t>
  </si>
  <si>
    <t>DeLuzio, Chris</t>
  </si>
  <si>
    <t>Guy, Tony</t>
  </si>
  <si>
    <t>Amo, Gabe</t>
  </si>
  <si>
    <t>Magaziner, Seth</t>
  </si>
  <si>
    <t>Mace, Nancy</t>
  </si>
  <si>
    <t>Wilson, Joe</t>
  </si>
  <si>
    <t>Biggs, Sheri</t>
  </si>
  <si>
    <t>Timmons, William</t>
  </si>
  <si>
    <t>Norman, Ralph</t>
  </si>
  <si>
    <t>Clyburn, Jim</t>
  </si>
  <si>
    <t>Fry, Russell</t>
  </si>
  <si>
    <t>Johnson, Dusty</t>
  </si>
  <si>
    <t>Harshbarger, Diana</t>
  </si>
  <si>
    <t>Burchett, Tim</t>
  </si>
  <si>
    <t>Fleischmann, Chuck</t>
  </si>
  <si>
    <t>Desjarlais, Scott</t>
  </si>
  <si>
    <t>Ogles, Andy</t>
  </si>
  <si>
    <t>Rose, John</t>
  </si>
  <si>
    <t>Van Epps, Matt</t>
  </si>
  <si>
    <t>Kustoff, David</t>
  </si>
  <si>
    <t>Cohen, Steve</t>
  </si>
  <si>
    <t>Moran, Nathaniel</t>
  </si>
  <si>
    <t>Prince, Yolanda</t>
  </si>
  <si>
    <t>Crenshaw, Dan</t>
  </si>
  <si>
    <t>Finnie, Shaun</t>
  </si>
  <si>
    <t>Toth, Steve</t>
  </si>
  <si>
    <t>Self, Keith</t>
  </si>
  <si>
    <t>Hunt, Evan</t>
  </si>
  <si>
    <t>Fallon, Pat</t>
  </si>
  <si>
    <t>Pearce, Jason</t>
  </si>
  <si>
    <t>Gooden, Lance</t>
  </si>
  <si>
    <t xml:space="preserve">Hockett, Chrissy </t>
  </si>
  <si>
    <t>Ellzey, Jake</t>
  </si>
  <si>
    <t>Minton, Danny</t>
  </si>
  <si>
    <t>Fletcher, Lizzie</t>
  </si>
  <si>
    <t>Hale, Alexander</t>
  </si>
  <si>
    <t>Luttrell, Morgan</t>
  </si>
  <si>
    <t>Jones, Laura</t>
  </si>
  <si>
    <t>Steinmann, Jessica</t>
  </si>
  <si>
    <t>Gutierrez, Leticia</t>
  </si>
  <si>
    <t>Mealer, Alex</t>
  </si>
  <si>
    <t>McCaul, Michael</t>
  </si>
  <si>
    <t>Rourk, Caitlin</t>
  </si>
  <si>
    <t>Gober, Chris</t>
  </si>
  <si>
    <t>Pfluger, Austin</t>
  </si>
  <si>
    <t>Reynolds, Claire</t>
  </si>
  <si>
    <t>Pfluger, Ausatin</t>
  </si>
  <si>
    <t>Goldman, Craig</t>
  </si>
  <si>
    <t>Rodriguez Prilliman, Angela</t>
  </si>
  <si>
    <t>Jackson, Ronny</t>
  </si>
  <si>
    <t>Nair, Mark</t>
  </si>
  <si>
    <t>Weber, Randy</t>
  </si>
  <si>
    <t>De La Cruz, Monica</t>
  </si>
  <si>
    <t>Pulido, Bobby</t>
  </si>
  <si>
    <t>Escobar, Veronica</t>
  </si>
  <si>
    <t>Bauman, Adam</t>
  </si>
  <si>
    <t>Sessions, Pete</t>
  </si>
  <si>
    <t>Shepard, Casey</t>
  </si>
  <si>
    <t>Menefee, Christian/Green, Al</t>
  </si>
  <si>
    <t>Menefee, Christian</t>
  </si>
  <si>
    <t>Whitfield, Ronald</t>
  </si>
  <si>
    <t>Arrington, Jodey</t>
  </si>
  <si>
    <t>Rable, Kyle</t>
  </si>
  <si>
    <t>Sell, Tom</t>
  </si>
  <si>
    <t>Castro, Joaquin</t>
  </si>
  <si>
    <t>Baez, Edgardo</t>
  </si>
  <si>
    <t>Roy, Chip</t>
  </si>
  <si>
    <t>Hook, Kristin</t>
  </si>
  <si>
    <t>Teixeira, Mark</t>
  </si>
  <si>
    <t>Nehls, Troy</t>
  </si>
  <si>
    <t>Greene-Scott, Marquette</t>
  </si>
  <si>
    <t>Nehls, Trever</t>
  </si>
  <si>
    <t>Gonzales, Tony</t>
  </si>
  <si>
    <t>Padilla, Katie</t>
  </si>
  <si>
    <t>Herrera, Brandon</t>
  </si>
  <si>
    <t>Van Duyne, Beth</t>
  </si>
  <si>
    <t>Burge, Kevin</t>
  </si>
  <si>
    <t>Williams, Roger</t>
  </si>
  <si>
    <t>Sims, Dione</t>
  </si>
  <si>
    <t>Gill, Brandon</t>
  </si>
  <si>
    <t>Shook, Steven</t>
  </si>
  <si>
    <t>Cloud, Michael</t>
  </si>
  <si>
    <t>Lloyd, Tanya</t>
  </si>
  <si>
    <t>Cuellar, Henry</t>
  </si>
  <si>
    <t>Tijerina, Tano</t>
  </si>
  <si>
    <t>Garcia, Sylvia</t>
  </si>
  <si>
    <t>Fierro, Martha</t>
  </si>
  <si>
    <t>Crockett, Jasmine</t>
  </si>
  <si>
    <t>Haynes, Frederick</t>
  </si>
  <si>
    <t>Jackson, Everett</t>
  </si>
  <si>
    <t>Carter, John</t>
  </si>
  <si>
    <t>Early, Justin</t>
  </si>
  <si>
    <t>Barrios, Don</t>
  </si>
  <si>
    <t>Yarbrough, Jace</t>
  </si>
  <si>
    <t>Johnson, Julie</t>
  </si>
  <si>
    <t>Allred, Collin</t>
  </si>
  <si>
    <t>Gillespie, Patrick</t>
  </si>
  <si>
    <t>Gonzalez, Vicente</t>
  </si>
  <si>
    <t>Flores, Eric</t>
  </si>
  <si>
    <t>Garcia, Johnny</t>
  </si>
  <si>
    <t>De La Cruz, Carlos</t>
  </si>
  <si>
    <t>Babin, Brian</t>
  </si>
  <si>
    <t>Hart, Rhonda</t>
  </si>
  <si>
    <t>Casar, Greg</t>
  </si>
  <si>
    <t>Pena, Lauren</t>
  </si>
  <si>
    <t>Hunt, Wesley</t>
  </si>
  <si>
    <t>McDonagh, Melissa</t>
  </si>
  <si>
    <t>Bonck, John</t>
  </si>
  <si>
    <t>Moore, Blake</t>
  </si>
  <si>
    <t>Maloy, Celeste</t>
  </si>
  <si>
    <t>Kennedy, Mike</t>
  </si>
  <si>
    <t>Owens, Burgess</t>
  </si>
  <si>
    <t>Balint, Becca</t>
  </si>
  <si>
    <t>Wittman, Rob</t>
  </si>
  <si>
    <t>Kiggans, Jen</t>
  </si>
  <si>
    <t>Scott, Bobby</t>
  </si>
  <si>
    <t>McClellan, Jennifer</t>
  </si>
  <si>
    <t>McGuire, John</t>
  </si>
  <si>
    <t>Cline, Ben</t>
  </si>
  <si>
    <t>Vindman, Eugene</t>
  </si>
  <si>
    <t>Beyer, Don</t>
  </si>
  <si>
    <t>Griffith, Morgan</t>
  </si>
  <si>
    <t>Subramanyam, Suhas</t>
  </si>
  <si>
    <t>Walkinshaw, James</t>
  </si>
  <si>
    <t>DelBene, Suzan</t>
  </si>
  <si>
    <t>Larsen, Rick</t>
  </si>
  <si>
    <t>Perez, Marie Gluesenkamp</t>
  </si>
  <si>
    <t>Newhouse, Dan</t>
  </si>
  <si>
    <t>Baumgartner, Michael</t>
  </si>
  <si>
    <t>Randall, Emily</t>
  </si>
  <si>
    <t>Jayapal, Pramila</t>
  </si>
  <si>
    <t>Schrier, Kim</t>
  </si>
  <si>
    <t>Smith, Adam</t>
  </si>
  <si>
    <t>Strickland, Marilyn</t>
  </si>
  <si>
    <t>Miller, Carol</t>
  </si>
  <si>
    <t>George, Vince</t>
  </si>
  <si>
    <t>Moore, Riley</t>
  </si>
  <si>
    <t>Parsi, Ace</t>
  </si>
  <si>
    <t xml:space="preserve">Moore, Riley </t>
  </si>
  <si>
    <t>Steil, Brian</t>
  </si>
  <si>
    <t>Pocan, Mark</t>
  </si>
  <si>
    <t>Van Orden, Derick</t>
  </si>
  <si>
    <t>Moore, Gwen</t>
  </si>
  <si>
    <t>Fitzgerald, Scott</t>
  </si>
  <si>
    <t>Grothman, Glenn</t>
  </si>
  <si>
    <t>Tiffany, Tom</t>
  </si>
  <si>
    <t>Wied, Tony</t>
  </si>
  <si>
    <t>Hageman, Harriet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</si>
  <si>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</si>
  <si>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</si>
  <si>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</si>
  <si>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</si>
  <si>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</si>
  <si>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</si>
  <si>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</si>
  <si>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</si>
  <si>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</si>
  <si>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</si>
  <si>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</si>
  <si>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</si>
  <si>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</si>
  <si>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</si>
  <si>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</si>
  <si>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</si>
  <si>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</si>
  <si>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</si>
  <si>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</si>
  <si>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</si>
  <si>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</si>
  <si>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</si>
  <si>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</si>
  <si>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</si>
  <si>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</si>
  <si>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</si>
  <si>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</si>
  <si>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</si>
  <si>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</si>
  <si>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</si>
  <si>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</si>
  <si>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</si>
  <si>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</si>
  <si>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</si>
  <si>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</si>
  <si>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</si>
  <si>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</si>
  <si>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</si>
  <si>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</si>
  <si>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</si>
  <si>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</si>
  <si>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</si>
  <si>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</si>
  <si>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</si>
  <si>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</si>
  <si>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</si>
  <si>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</si>
  <si>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</si>
  <si>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</si>
  <si>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Region</t>
  </si>
  <si>
    <t>District Type</t>
  </si>
  <si>
    <t>State Environment Adjustment</t>
  </si>
  <si>
    <t>Regions</t>
  </si>
  <si>
    <t>Northeast</t>
  </si>
  <si>
    <t>Midwest</t>
  </si>
  <si>
    <t>South</t>
  </si>
  <si>
    <t>Mountain West</t>
  </si>
  <si>
    <t>Pacific</t>
  </si>
  <si>
    <t>Urban</t>
  </si>
  <si>
    <t>Suburban</t>
  </si>
  <si>
    <t>Exurban</t>
  </si>
  <si>
    <t>Rural</t>
  </si>
  <si>
    <t>Mixed</t>
  </si>
  <si>
    <t>Northwest</t>
  </si>
  <si>
    <t>Deep South</t>
  </si>
  <si>
    <t>Southwest</t>
  </si>
  <si>
    <t>Mid-Atlantic</t>
  </si>
  <si>
    <t>Southeast</t>
  </si>
  <si>
    <t xml:space="preserve">Pacific </t>
  </si>
  <si>
    <t>Great Plains</t>
  </si>
  <si>
    <t>Appalachia</t>
  </si>
  <si>
    <t>Middle South</t>
  </si>
  <si>
    <t>Urban South</t>
  </si>
  <si>
    <t>College Share Tier</t>
  </si>
  <si>
    <t>Black Share Tier</t>
  </si>
  <si>
    <t>Hispanic Share Tier</t>
  </si>
  <si>
    <t>Median Income Tier</t>
  </si>
  <si>
    <t>Medium</t>
  </si>
  <si>
    <t>Low</t>
  </si>
  <si>
    <t>High</t>
  </si>
  <si>
    <t>Very High</t>
  </si>
  <si>
    <t>White Share Tier</t>
  </si>
  <si>
    <t>McGovern, Jim</t>
  </si>
  <si>
    <t>Incumbent Party</t>
  </si>
  <si>
    <t>R</t>
  </si>
  <si>
    <t>D</t>
  </si>
  <si>
    <t>Vacant</t>
  </si>
  <si>
    <t>Mejia, Anelita</t>
  </si>
  <si>
    <t>Election System</t>
  </si>
  <si>
    <t>top_two</t>
  </si>
  <si>
    <t>standard</t>
  </si>
  <si>
    <t>top_four_rcv</t>
  </si>
  <si>
    <t>General Election Party Structure</t>
  </si>
  <si>
    <t>Unresolved</t>
  </si>
  <si>
    <t>D_vs_R</t>
  </si>
  <si>
    <t>Party Control Override</t>
  </si>
  <si>
    <t>Election System Notes</t>
  </si>
  <si>
    <t>Galdo, Damon</t>
  </si>
  <si>
    <t>Mullock, Zach</t>
  </si>
  <si>
    <t>McGuire, Michael</t>
  </si>
  <si>
    <t>Peace, Rachel</t>
  </si>
  <si>
    <t>Kirrane, Sean</t>
  </si>
  <si>
    <t>Herzig, Hillary</t>
  </si>
  <si>
    <t>Bennett, Rebecca</t>
  </si>
  <si>
    <t>Bucco, Carmen</t>
  </si>
  <si>
    <t>Mejia, Analilia</t>
  </si>
  <si>
    <t>Hathaway, Joe</t>
  </si>
  <si>
    <t>Hamawy, Adam</t>
  </si>
  <si>
    <t>Mele, Gregg</t>
  </si>
  <si>
    <t>Bohannon, Christina</t>
  </si>
  <si>
    <t>Miller-Meeks, Mariannette</t>
  </si>
  <si>
    <t>James, Lindsay</t>
  </si>
  <si>
    <t>Mitchell, Joe</t>
  </si>
  <si>
    <t>Trone Garriott, Sarah</t>
  </si>
  <si>
    <t>McGowan, Chris</t>
  </si>
  <si>
    <t>Flint, Aaron</t>
  </si>
  <si>
    <t>Gronli, Nicole</t>
  </si>
  <si>
    <t>Jackley, Marty</t>
  </si>
  <si>
    <t>D_vs_D</t>
  </si>
  <si>
    <t>Cargile, Mark</t>
  </si>
  <si>
    <t>Manos, Steve</t>
  </si>
  <si>
    <t>Angel, Genevieve</t>
  </si>
  <si>
    <t>Dawson, Dave</t>
  </si>
  <si>
    <t>Solis, Hilda</t>
  </si>
  <si>
    <t>Casas, Pedro</t>
  </si>
  <si>
    <t>Smith, Bob</t>
  </si>
  <si>
    <t>Irwin, Jacqui</t>
  </si>
  <si>
    <t>Desmond, Jim</t>
  </si>
  <si>
    <t>Weiner, Scott</t>
  </si>
  <si>
    <t>Gibbs, Jason</t>
  </si>
  <si>
    <t>Gallagher, James</t>
  </si>
  <si>
    <t>McGuire, Mike</t>
  </si>
  <si>
    <t>Tucker, Robb</t>
  </si>
  <si>
    <t>Bera, Ami</t>
  </si>
  <si>
    <t>Kiley, Kevin</t>
  </si>
  <si>
    <t>Mesuda, Michael</t>
  </si>
  <si>
    <t>McBride, John</t>
  </si>
  <si>
    <t>Other</t>
  </si>
  <si>
    <t>Chan, Connie</t>
  </si>
  <si>
    <t>Joyce, Jamie</t>
  </si>
  <si>
    <t>Wahab, Aisha</t>
  </si>
  <si>
    <t>Hoelter, Charles</t>
  </si>
  <si>
    <t>Lewis, Shane</t>
  </si>
  <si>
    <t>Verbica, Peter Coe</t>
  </si>
  <si>
    <t>Van Scotter, Sandra</t>
  </si>
  <si>
    <t>Verlato, April</t>
  </si>
  <si>
    <t>Ching, Eric</t>
  </si>
  <si>
    <t>Thompson, Larry</t>
  </si>
  <si>
    <t>Calvert, Ken</t>
  </si>
  <si>
    <t>Clemmons, Mitch</t>
  </si>
  <si>
    <t>Pan, David</t>
  </si>
  <si>
    <t>Le Roux, Jenny</t>
  </si>
  <si>
    <t>von Wilpert, Marie</t>
  </si>
  <si>
    <t>Cabrera, Ricardo</t>
  </si>
  <si>
    <t>Bell, Jeff</t>
  </si>
  <si>
    <t>Miller, Brian</t>
  </si>
  <si>
    <t>Forstag, Sam</t>
  </si>
  <si>
    <t>Lincoln, Kevin</t>
  </si>
  <si>
    <t>Gallucci, Sam</t>
  </si>
  <si>
    <t>Kirkland, Kyle</t>
  </si>
  <si>
    <t>Kurdian, Armen</t>
  </si>
  <si>
    <t>uncontested</t>
  </si>
  <si>
    <t>Vargas, Stephanie</t>
  </si>
  <si>
    <t>Males, John</t>
  </si>
  <si>
    <t>Hodge, Tessa</t>
  </si>
  <si>
    <t>Vo, Chuong</t>
  </si>
  <si>
    <t>Tandon, Ritesh</t>
  </si>
  <si>
    <t>Pino, Rosie</t>
  </si>
  <si>
    <t>Fedorchak, Julie</t>
  </si>
  <si>
    <t>Hammer, Trygve</t>
  </si>
  <si>
    <t>Littau, Robin</t>
  </si>
  <si>
    <t>Pan, Richard</t>
  </si>
  <si>
    <t>Vang, Mai</t>
  </si>
  <si>
    <t>Recile, Rudy</t>
  </si>
  <si>
    <t>Villegas, Randy</t>
  </si>
  <si>
    <t>Duenas, Angelica</t>
  </si>
  <si>
    <t>Meyers, Scott</t>
  </si>
  <si>
    <t>Gonzales-Torres, Angela</t>
  </si>
  <si>
    <t>Brignano, Houston</t>
  </si>
  <si>
    <t>Mota, Samantha</t>
  </si>
  <si>
    <t>Kim, Young</t>
  </si>
  <si>
    <t>R_vs_R</t>
  </si>
  <si>
    <t>Burley, Brian</t>
  </si>
  <si>
    <t>Bartie, Thurmond</t>
  </si>
  <si>
    <t>Biggs, Sherri</t>
  </si>
  <si>
    <t>Lehmacher, Eunice</t>
  </si>
  <si>
    <t>McClain, Courtney</t>
  </si>
  <si>
    <t>Dittmer, Mallory</t>
  </si>
  <si>
    <t>Climer, Wes</t>
  </si>
  <si>
    <t>Peterson, John</t>
  </si>
  <si>
    <t>Vincent, John</t>
  </si>
  <si>
    <t>Buck, Carrie</t>
  </si>
  <si>
    <t>Flippo, David</t>
  </si>
  <si>
    <t>Benitez-Thompson, Teresa</t>
  </si>
  <si>
    <t>O'Donnell, Marty</t>
  </si>
  <si>
    <t>Whipple, Cody</t>
  </si>
  <si>
    <t>Russell, Ronald</t>
  </si>
  <si>
    <t>LePage, Paul</t>
  </si>
  <si>
    <t>Hernandez, Melissa</t>
  </si>
  <si>
    <t>Morales, Cristian</t>
  </si>
  <si>
    <t>Frese, Jeff</t>
  </si>
  <si>
    <t>Jones, Eric</t>
  </si>
  <si>
    <t>Soule, Peter</t>
  </si>
  <si>
    <t>Cowan, John</t>
  </si>
  <si>
    <t>Kozycki, Tony</t>
  </si>
  <si>
    <t>Croisant, John</t>
  </si>
  <si>
    <t>Wade, Brandon</t>
  </si>
  <si>
    <t>Smith, Ceretta</t>
  </si>
  <si>
    <t>Sneed, Andrew</t>
  </si>
  <si>
    <t>Byrd, Suzie</t>
  </si>
  <si>
    <t>Hollowell, Amanda</t>
  </si>
  <si>
    <t>Jacob, Mitchell</t>
  </si>
  <si>
    <t>Nelson, Gina</t>
  </si>
  <si>
    <t>Dunlap, Matthew</t>
  </si>
  <si>
    <t>Gallant, Christopher</t>
  </si>
  <si>
    <t>Halpin, Patrick</t>
  </si>
  <si>
    <t>LiPetri, Michael</t>
  </si>
  <si>
    <t>Driscoll, Jeanine</t>
  </si>
  <si>
    <t>Marks, George</t>
  </si>
  <si>
    <t>Chou, Joseph</t>
  </si>
  <si>
    <t>Valdez, Claire</t>
  </si>
  <si>
    <t>Rivera, Melvin</t>
  </si>
  <si>
    <t>Mizrahi, Lewis</t>
  </si>
  <si>
    <t>Azumah, Joel</t>
  </si>
  <si>
    <t>Lander, Brad</t>
  </si>
  <si>
    <t>Moore, Jennifer</t>
  </si>
  <si>
    <t>DeCillis, Mike</t>
  </si>
  <si>
    <t>Lasher, Micah</t>
  </si>
  <si>
    <t>Shinkle, Caroline</t>
  </si>
  <si>
    <t>Avila Chevalier, Darializa</t>
  </si>
  <si>
    <t>Williams, Jomo</t>
  </si>
  <si>
    <t>Hysenaj, Diamant</t>
  </si>
  <si>
    <t>Sapaskis, Stylo</t>
  </si>
  <si>
    <t>Cinquemani, Joseph</t>
  </si>
  <si>
    <t>Conley, Cait</t>
  </si>
  <si>
    <t>Auringer, Jackie Mary</t>
  </si>
  <si>
    <t>Oberacker, Peter</t>
  </si>
  <si>
    <t>Ambrosio, Ralph</t>
  </si>
  <si>
    <t>Constantino, Anthony</t>
  </si>
  <si>
    <t>Gendebein, Blake</t>
  </si>
  <si>
    <t>Buller, Kailee Marie</t>
  </si>
  <si>
    <t>Gies, Aaron</t>
  </si>
  <si>
    <t>Ellman, Elissa</t>
  </si>
  <si>
    <t>Morelle, Joseph</t>
  </si>
  <si>
    <t>McIntyre, Virginia</t>
  </si>
  <si>
    <t>Hannon, Dennis</t>
  </si>
  <si>
    <t>Okpareke, Ndidiamaka Ekwua Charlene</t>
  </si>
  <si>
    <t>Cunningham, Gregory</t>
  </si>
  <si>
    <t>Zamora, Martin</t>
  </si>
  <si>
    <t>Honeycutt, Jenny Costa</t>
  </si>
  <si>
    <t>Lacore, Nancy</t>
  </si>
  <si>
    <t>Khalifa, Zion</t>
  </si>
  <si>
    <t>Wallace, Dave</t>
  </si>
  <si>
    <t>Flowers, Bernie</t>
  </si>
  <si>
    <t>McDermott, George</t>
  </si>
  <si>
    <t>Boafo, Adrian</t>
  </si>
  <si>
    <t>Chaffee, Chris</t>
  </si>
  <si>
    <t>Ficker, Robin</t>
  </si>
  <si>
    <t>Collier, Scott</t>
  </si>
  <si>
    <t>Riley, Cheryl</t>
  </si>
  <si>
    <t>McAdams, Ben</t>
  </si>
  <si>
    <t>Owen, Riley</t>
  </si>
  <si>
    <t>Crosby, Peter</t>
  </si>
  <si>
    <t>Udell, Kent</t>
  </si>
  <si>
    <t>Larsen, Johnny</t>
  </si>
  <si>
    <t>Schwartz, Dan</t>
  </si>
  <si>
    <t>Kingston, James</t>
  </si>
  <si>
    <t>Martin, Kevin</t>
  </si>
  <si>
    <t>DeLancy, Pamela</t>
  </si>
  <si>
    <t>Peterson, Christy</t>
  </si>
  <si>
    <t>Laubacher, Ellen</t>
  </si>
  <si>
    <t>Bennett, Tim</t>
  </si>
  <si>
    <t>Rutinel, Manny</t>
  </si>
  <si>
    <t>Kiros, Milat</t>
  </si>
  <si>
    <t>Romero, Dwayne</t>
  </si>
  <si>
    <t>Killin,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</si>
</sst>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 Yelin" id="{D1F88E81-7DBF-1B4A-907A-3BF92BC08466}" userId="07346eb483d9d83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6-05-30T12:46:54.78" personId="{D1F88E81-7DBF-1B4A-907A-3BF92BC08466}" id="{64FF4A2E-41B6-D242-BD56-86F00F3F130C}">
    <text>Low: &lt;25%
Medium: 25-35%
High: 35-45%
Very High: &gt;45%</text>
  </threadedComment>
  <threadedComment ref="O1" dT="2026-05-30T17:02:08.76" personId="{D1F88E81-7DBF-1B4A-907A-3BF92BC08466}" id="{18A1CF58-6C0E-9E48-9702-50C9E9EAC915}">
    <text>Low=&lt;45%
Medium=45-60%
High=60-75%
Very High: &gt;75%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142F-1ED2-0141-A92D-14DC2DE06B34}">
  <dimension ref="A1:V436"/>
  <sheetViews>
    <sheetView tabSelected="1" topLeftCell="A318" workbookViewId="0">
      <selection activeCell="D344" sqref="D344"/>
    </sheetView>
  </sheetViews>
  <sheetFormatPr baseColWidth="10" defaultRowHeight="16" x14ac:dyDescent="0.2"/>
  <cols>
    <col min="1" max="1" width="18.1640625" customWidth="1"/>
    <col min="2" max="2" width="16.83203125" customWidth="1"/>
    <col min="3" max="4" width="29.83203125" customWidth="1"/>
    <col min="5" max="6" width="20.6640625" style="3" customWidth="1"/>
    <col min="7" max="7" width="30.1640625" style="3" customWidth="1"/>
    <col min="8" max="8" width="23.33203125" customWidth="1"/>
    <col min="9" max="9" width="32.5" customWidth="1"/>
    <col min="10" max="10" width="24.1640625" customWidth="1"/>
    <col min="11" max="11" width="13.6640625" hidden="1" customWidth="1"/>
    <col min="12" max="12" width="18.6640625" hidden="1" customWidth="1"/>
    <col min="13" max="13" width="28" hidden="1" customWidth="1"/>
    <col min="14" max="14" width="21" hidden="1" customWidth="1"/>
    <col min="15" max="15" width="29.1640625" hidden="1" customWidth="1"/>
    <col min="16" max="16" width="19.5" hidden="1" customWidth="1"/>
    <col min="17" max="17" width="21.33203125" hidden="1" customWidth="1"/>
    <col min="18" max="18" width="23.83203125" hidden="1" customWidth="1"/>
    <col min="19" max="19" width="16.1640625" hidden="1" customWidth="1"/>
    <col min="20" max="20" width="29.6640625" customWidth="1"/>
    <col min="21" max="21" width="22" customWidth="1"/>
    <col min="22" max="22" width="21.16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693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747</v>
      </c>
      <c r="K1" s="2" t="s">
        <v>659</v>
      </c>
      <c r="L1" s="2" t="s">
        <v>660</v>
      </c>
      <c r="M1" s="2" t="s">
        <v>661</v>
      </c>
      <c r="N1" s="1" t="s">
        <v>683</v>
      </c>
      <c r="O1" s="1" t="s">
        <v>691</v>
      </c>
      <c r="P1" s="1" t="s">
        <v>684</v>
      </c>
      <c r="Q1" s="1" t="s">
        <v>685</v>
      </c>
      <c r="R1" s="1" t="s">
        <v>686</v>
      </c>
      <c r="S1" s="1" t="s">
        <v>698</v>
      </c>
      <c r="T1" s="1" t="s">
        <v>702</v>
      </c>
      <c r="U1" s="1" t="s">
        <v>705</v>
      </c>
      <c r="V1" s="1" t="s">
        <v>706</v>
      </c>
    </row>
    <row r="2" spans="1:22" x14ac:dyDescent="0.2">
      <c r="A2" t="s">
        <v>17</v>
      </c>
      <c r="B2">
        <v>1</v>
      </c>
      <c r="C2" t="s">
        <v>8</v>
      </c>
      <c r="D2" t="s">
        <v>694</v>
      </c>
      <c r="E2" s="3">
        <f>31.2-67.5</f>
        <v>-36.299999999999997</v>
      </c>
      <c r="F2" s="3">
        <f>34.4-64.6</f>
        <v>-30.199999999999996</v>
      </c>
      <c r="G2" s="3">
        <f t="shared" ref="G2:G8" si="0">E2+6.9+1.5</f>
        <v>-27.9</v>
      </c>
      <c r="K2" t="s">
        <v>674</v>
      </c>
      <c r="L2" t="s">
        <v>671</v>
      </c>
      <c r="S2" t="s">
        <v>700</v>
      </c>
      <c r="T2" t="s">
        <v>703</v>
      </c>
    </row>
    <row r="3" spans="1:22" x14ac:dyDescent="0.2">
      <c r="A3" t="s">
        <v>17</v>
      </c>
      <c r="B3">
        <v>2</v>
      </c>
      <c r="C3" t="s">
        <v>9</v>
      </c>
      <c r="D3" t="s">
        <v>695</v>
      </c>
      <c r="E3" s="3">
        <f>40.8-58.1</f>
        <v>-17.300000000000004</v>
      </c>
      <c r="F3" s="3">
        <f>43.5-55.3</f>
        <v>-11.799999999999997</v>
      </c>
      <c r="G3" s="3">
        <f t="shared" si="0"/>
        <v>-8.9000000000000039</v>
      </c>
      <c r="K3" t="s">
        <v>674</v>
      </c>
      <c r="L3" t="s">
        <v>671</v>
      </c>
      <c r="S3" t="s">
        <v>700</v>
      </c>
      <c r="T3" t="s">
        <v>703</v>
      </c>
    </row>
    <row r="4" spans="1:22" x14ac:dyDescent="0.2">
      <c r="A4" t="s">
        <v>17</v>
      </c>
      <c r="B4">
        <v>3</v>
      </c>
      <c r="C4" t="s">
        <v>10</v>
      </c>
      <c r="D4" t="s">
        <v>694</v>
      </c>
      <c r="E4" s="3">
        <f>26.5-72.4</f>
        <v>-45.900000000000006</v>
      </c>
      <c r="F4" s="3">
        <f>29.3-69.4</f>
        <v>-40.100000000000009</v>
      </c>
      <c r="G4" s="3">
        <f t="shared" si="0"/>
        <v>-37.500000000000007</v>
      </c>
      <c r="H4" s="4" t="s">
        <v>11</v>
      </c>
      <c r="I4" t="s">
        <v>10</v>
      </c>
      <c r="K4" t="s">
        <v>674</v>
      </c>
      <c r="L4" t="s">
        <v>671</v>
      </c>
      <c r="S4" t="s">
        <v>700</v>
      </c>
      <c r="T4" t="s">
        <v>704</v>
      </c>
    </row>
    <row r="5" spans="1:22" x14ac:dyDescent="0.2">
      <c r="A5" t="s">
        <v>17</v>
      </c>
      <c r="B5">
        <v>4</v>
      </c>
      <c r="C5" t="s">
        <v>12</v>
      </c>
      <c r="D5" t="s">
        <v>694</v>
      </c>
      <c r="E5" s="3">
        <f>15.6-83.4</f>
        <v>-67.800000000000011</v>
      </c>
      <c r="F5" s="3">
        <f>17.6-81.3</f>
        <v>-63.699999999999996</v>
      </c>
      <c r="G5" s="3">
        <f t="shared" si="0"/>
        <v>-59.400000000000013</v>
      </c>
      <c r="H5" s="4" t="s">
        <v>13</v>
      </c>
      <c r="I5" t="s">
        <v>12</v>
      </c>
      <c r="K5" t="s">
        <v>674</v>
      </c>
      <c r="L5" t="s">
        <v>671</v>
      </c>
      <c r="S5" t="s">
        <v>700</v>
      </c>
      <c r="T5" t="s">
        <v>704</v>
      </c>
    </row>
    <row r="6" spans="1:22" x14ac:dyDescent="0.2">
      <c r="A6" t="s">
        <v>17</v>
      </c>
      <c r="B6">
        <v>5</v>
      </c>
      <c r="C6" t="s">
        <v>14</v>
      </c>
      <c r="D6" t="s">
        <v>694</v>
      </c>
      <c r="E6" s="3">
        <f>34.6-63.6</f>
        <v>-29</v>
      </c>
      <c r="F6" s="3">
        <f>35.4-62.5</f>
        <v>-27.1</v>
      </c>
      <c r="G6" s="3">
        <f t="shared" si="0"/>
        <v>-20.6</v>
      </c>
      <c r="H6" s="4" t="s">
        <v>818</v>
      </c>
      <c r="I6" t="s">
        <v>14</v>
      </c>
      <c r="K6" t="s">
        <v>674</v>
      </c>
      <c r="L6" t="s">
        <v>671</v>
      </c>
      <c r="S6" t="s">
        <v>700</v>
      </c>
      <c r="T6" t="s">
        <v>703</v>
      </c>
    </row>
    <row r="7" spans="1:22" x14ac:dyDescent="0.2">
      <c r="A7" t="s">
        <v>17</v>
      </c>
      <c r="B7">
        <v>6</v>
      </c>
      <c r="C7" t="s">
        <v>15</v>
      </c>
      <c r="D7" t="s">
        <v>694</v>
      </c>
      <c r="E7" s="3">
        <f>31.6-66.6</f>
        <v>-34.999999999999993</v>
      </c>
      <c r="F7" s="3">
        <f>31.8-66.4</f>
        <v>-34.600000000000009</v>
      </c>
      <c r="G7" s="3">
        <f t="shared" si="0"/>
        <v>-26.599999999999994</v>
      </c>
      <c r="K7" t="s">
        <v>674</v>
      </c>
      <c r="L7" t="s">
        <v>671</v>
      </c>
      <c r="S7" t="s">
        <v>700</v>
      </c>
      <c r="T7" t="s">
        <v>703</v>
      </c>
    </row>
    <row r="8" spans="1:22" x14ac:dyDescent="0.2">
      <c r="A8" t="s">
        <v>17</v>
      </c>
      <c r="B8">
        <v>7</v>
      </c>
      <c r="C8" t="s">
        <v>16</v>
      </c>
      <c r="D8" t="s">
        <v>695</v>
      </c>
      <c r="E8" s="3">
        <f>61.9-37.1</f>
        <v>24.799999999999997</v>
      </c>
      <c r="F8" s="3">
        <f>64.7-34.4</f>
        <v>30.300000000000004</v>
      </c>
      <c r="G8" s="3">
        <f t="shared" si="0"/>
        <v>33.199999999999996</v>
      </c>
      <c r="K8" t="s">
        <v>674</v>
      </c>
      <c r="L8" t="s">
        <v>671</v>
      </c>
      <c r="S8" t="s">
        <v>700</v>
      </c>
      <c r="T8" t="s">
        <v>703</v>
      </c>
    </row>
    <row r="9" spans="1:22" x14ac:dyDescent="0.2">
      <c r="A9" t="s">
        <v>610</v>
      </c>
      <c r="B9" s="5" t="s">
        <v>17</v>
      </c>
      <c r="C9" t="s">
        <v>18</v>
      </c>
      <c r="D9" t="s">
        <v>694</v>
      </c>
      <c r="E9" s="3">
        <v>-13.1</v>
      </c>
      <c r="F9" s="3">
        <f>42.8-52.8</f>
        <v>-10</v>
      </c>
      <c r="G9" s="3">
        <f t="shared" ref="G9:G65" si="1">E9+6.9+1.5</f>
        <v>-4.6999999999999993</v>
      </c>
      <c r="K9" t="s">
        <v>673</v>
      </c>
      <c r="L9" t="s">
        <v>672</v>
      </c>
      <c r="N9" t="s">
        <v>688</v>
      </c>
      <c r="O9" t="s">
        <v>689</v>
      </c>
      <c r="P9" t="s">
        <v>688</v>
      </c>
      <c r="S9" t="s">
        <v>701</v>
      </c>
      <c r="T9" t="s">
        <v>703</v>
      </c>
    </row>
    <row r="10" spans="1:22" x14ac:dyDescent="0.2">
      <c r="A10" t="s">
        <v>611</v>
      </c>
      <c r="B10">
        <v>1</v>
      </c>
      <c r="C10" t="s">
        <v>19</v>
      </c>
      <c r="D10" t="s">
        <v>694</v>
      </c>
      <c r="E10" s="3">
        <v>-3.1</v>
      </c>
      <c r="F10" s="3">
        <f>50.1-48.6</f>
        <v>1.5</v>
      </c>
      <c r="G10" s="3">
        <f t="shared" si="1"/>
        <v>5.3000000000000007</v>
      </c>
      <c r="K10" t="s">
        <v>675</v>
      </c>
      <c r="L10" t="s">
        <v>669</v>
      </c>
      <c r="N10" t="s">
        <v>690</v>
      </c>
      <c r="O10" t="s">
        <v>689</v>
      </c>
      <c r="P10" t="s">
        <v>688</v>
      </c>
      <c r="Q10" t="s">
        <v>688</v>
      </c>
      <c r="S10" t="s">
        <v>700</v>
      </c>
      <c r="T10" t="s">
        <v>703</v>
      </c>
    </row>
    <row r="11" spans="1:22" x14ac:dyDescent="0.2">
      <c r="A11" t="s">
        <v>611</v>
      </c>
      <c r="B11">
        <v>2</v>
      </c>
      <c r="C11" t="s">
        <v>20</v>
      </c>
      <c r="D11" t="s">
        <v>694</v>
      </c>
      <c r="E11" s="3">
        <v>-14.9</v>
      </c>
      <c r="F11" s="3">
        <f>45.3-53.2</f>
        <v>-7.9000000000000057</v>
      </c>
      <c r="G11" s="3">
        <f t="shared" si="1"/>
        <v>-6.5</v>
      </c>
      <c r="K11" t="s">
        <v>675</v>
      </c>
      <c r="L11" t="s">
        <v>672</v>
      </c>
      <c r="N11" t="s">
        <v>688</v>
      </c>
      <c r="O11" t="s">
        <v>687</v>
      </c>
      <c r="P11" t="s">
        <v>688</v>
      </c>
      <c r="Q11" t="s">
        <v>688</v>
      </c>
      <c r="S11" t="s">
        <v>700</v>
      </c>
      <c r="T11" t="s">
        <v>703</v>
      </c>
    </row>
    <row r="12" spans="1:22" x14ac:dyDescent="0.2">
      <c r="A12" t="s">
        <v>611</v>
      </c>
      <c r="B12">
        <v>3</v>
      </c>
      <c r="C12" t="s">
        <v>21</v>
      </c>
      <c r="D12" t="s">
        <v>695</v>
      </c>
      <c r="E12" s="3">
        <v>39.6</v>
      </c>
      <c r="F12" s="3">
        <f>74.5-23.9</f>
        <v>50.6</v>
      </c>
      <c r="G12" s="3">
        <f t="shared" si="1"/>
        <v>48</v>
      </c>
      <c r="K12" t="s">
        <v>675</v>
      </c>
      <c r="L12" t="s">
        <v>672</v>
      </c>
      <c r="N12" t="s">
        <v>688</v>
      </c>
      <c r="O12" t="s">
        <v>688</v>
      </c>
      <c r="P12" t="s">
        <v>687</v>
      </c>
      <c r="Q12" t="s">
        <v>690</v>
      </c>
      <c r="S12" t="s">
        <v>700</v>
      </c>
      <c r="T12" t="s">
        <v>703</v>
      </c>
    </row>
    <row r="13" spans="1:22" x14ac:dyDescent="0.2">
      <c r="A13" t="s">
        <v>611</v>
      </c>
      <c r="B13">
        <v>4</v>
      </c>
      <c r="C13" t="s">
        <v>22</v>
      </c>
      <c r="D13" t="s">
        <v>695</v>
      </c>
      <c r="E13" s="3">
        <v>7.3</v>
      </c>
      <c r="F13" s="3">
        <f>54.2-43.9</f>
        <v>10.300000000000004</v>
      </c>
      <c r="G13" s="3">
        <f t="shared" si="1"/>
        <v>15.7</v>
      </c>
      <c r="K13" t="s">
        <v>675</v>
      </c>
      <c r="L13" t="s">
        <v>669</v>
      </c>
      <c r="N13" t="s">
        <v>689</v>
      </c>
      <c r="O13" t="s">
        <v>687</v>
      </c>
      <c r="P13" t="s">
        <v>688</v>
      </c>
      <c r="Q13" t="s">
        <v>687</v>
      </c>
      <c r="S13" t="s">
        <v>700</v>
      </c>
      <c r="T13" t="s">
        <v>703</v>
      </c>
    </row>
    <row r="14" spans="1:22" x14ac:dyDescent="0.2">
      <c r="A14" t="s">
        <v>611</v>
      </c>
      <c r="B14">
        <v>5</v>
      </c>
      <c r="C14" t="s">
        <v>23</v>
      </c>
      <c r="D14" t="s">
        <v>694</v>
      </c>
      <c r="E14" s="3">
        <v>-19.899999999999999</v>
      </c>
      <c r="F14" s="3">
        <f>41-57.4</f>
        <v>-16.399999999999999</v>
      </c>
      <c r="G14" s="3">
        <f t="shared" si="1"/>
        <v>-11.499999999999998</v>
      </c>
      <c r="K14" t="s">
        <v>675</v>
      </c>
      <c r="L14" t="s">
        <v>669</v>
      </c>
      <c r="N14" t="s">
        <v>689</v>
      </c>
      <c r="O14" t="s">
        <v>689</v>
      </c>
      <c r="P14" t="s">
        <v>688</v>
      </c>
      <c r="Q14" t="s">
        <v>687</v>
      </c>
      <c r="S14" t="s">
        <v>700</v>
      </c>
      <c r="T14" t="s">
        <v>703</v>
      </c>
    </row>
    <row r="15" spans="1:22" x14ac:dyDescent="0.2">
      <c r="A15" t="s">
        <v>611</v>
      </c>
      <c r="B15">
        <v>6</v>
      </c>
      <c r="C15" t="s">
        <v>24</v>
      </c>
      <c r="D15" t="s">
        <v>694</v>
      </c>
      <c r="E15" s="3">
        <v>-0.7</v>
      </c>
      <c r="F15" s="3">
        <f>49.3-49.2</f>
        <v>9.9999999999994316E-2</v>
      </c>
      <c r="G15" s="3">
        <f t="shared" si="1"/>
        <v>7.7</v>
      </c>
      <c r="K15" t="s">
        <v>675</v>
      </c>
      <c r="L15" t="s">
        <v>672</v>
      </c>
      <c r="N15" t="s">
        <v>689</v>
      </c>
      <c r="O15" t="s">
        <v>689</v>
      </c>
      <c r="P15" t="s">
        <v>688</v>
      </c>
      <c r="Q15" t="s">
        <v>687</v>
      </c>
      <c r="S15" t="s">
        <v>700</v>
      </c>
      <c r="T15" t="s">
        <v>703</v>
      </c>
    </row>
    <row r="16" spans="1:22" x14ac:dyDescent="0.2">
      <c r="A16" t="s">
        <v>611</v>
      </c>
      <c r="B16">
        <v>7</v>
      </c>
      <c r="C16" t="s">
        <v>25</v>
      </c>
      <c r="D16" t="s">
        <v>695</v>
      </c>
      <c r="E16" s="3">
        <v>22.1</v>
      </c>
      <c r="F16" s="3">
        <f>65.6-32.9</f>
        <v>32.699999999999996</v>
      </c>
      <c r="G16" s="3">
        <f t="shared" si="1"/>
        <v>30.5</v>
      </c>
      <c r="K16" t="s">
        <v>675</v>
      </c>
      <c r="L16" t="s">
        <v>672</v>
      </c>
      <c r="N16" t="s">
        <v>688</v>
      </c>
      <c r="O16" t="s">
        <v>688</v>
      </c>
      <c r="P16" t="s">
        <v>688</v>
      </c>
      <c r="Q16" t="s">
        <v>690</v>
      </c>
      <c r="S16" t="s">
        <v>700</v>
      </c>
      <c r="T16" t="s">
        <v>703</v>
      </c>
    </row>
    <row r="17" spans="1:20" x14ac:dyDescent="0.2">
      <c r="A17" t="s">
        <v>611</v>
      </c>
      <c r="B17">
        <v>8</v>
      </c>
      <c r="C17" t="s">
        <v>26</v>
      </c>
      <c r="D17" t="s">
        <v>694</v>
      </c>
      <c r="E17" s="3">
        <v>-16.3</v>
      </c>
      <c r="F17" s="3">
        <f>42.5-56.1</f>
        <v>-13.600000000000001</v>
      </c>
      <c r="G17" s="3">
        <f t="shared" si="1"/>
        <v>-7.9</v>
      </c>
      <c r="K17" t="s">
        <v>675</v>
      </c>
      <c r="L17" t="s">
        <v>672</v>
      </c>
      <c r="N17" t="s">
        <v>687</v>
      </c>
      <c r="O17" t="s">
        <v>689</v>
      </c>
      <c r="P17" t="s">
        <v>688</v>
      </c>
      <c r="Q17" t="s">
        <v>687</v>
      </c>
      <c r="S17" t="s">
        <v>700</v>
      </c>
      <c r="T17" t="s">
        <v>703</v>
      </c>
    </row>
    <row r="18" spans="1:20" x14ac:dyDescent="0.2">
      <c r="A18" t="s">
        <v>611</v>
      </c>
      <c r="B18">
        <v>9</v>
      </c>
      <c r="C18" t="s">
        <v>27</v>
      </c>
      <c r="D18" t="s">
        <v>694</v>
      </c>
      <c r="E18" s="3">
        <v>-31</v>
      </c>
      <c r="F18" s="3">
        <f>36.4-62.2</f>
        <v>-25.800000000000004</v>
      </c>
      <c r="G18" s="3">
        <f t="shared" si="1"/>
        <v>-22.6</v>
      </c>
      <c r="K18" t="s">
        <v>675</v>
      </c>
      <c r="L18" t="s">
        <v>671</v>
      </c>
      <c r="N18" t="s">
        <v>688</v>
      </c>
      <c r="O18" t="s">
        <v>689</v>
      </c>
      <c r="P18" t="s">
        <v>688</v>
      </c>
      <c r="Q18" t="s">
        <v>687</v>
      </c>
      <c r="S18" t="s">
        <v>700</v>
      </c>
      <c r="T18" t="s">
        <v>703</v>
      </c>
    </row>
    <row r="19" spans="1:20" x14ac:dyDescent="0.2">
      <c r="A19" t="s">
        <v>612</v>
      </c>
      <c r="B19">
        <v>1</v>
      </c>
      <c r="C19" t="s">
        <v>28</v>
      </c>
      <c r="D19" t="s">
        <v>694</v>
      </c>
      <c r="E19" s="3">
        <v>-45.3</v>
      </c>
      <c r="F19" s="3">
        <f>28.1-69</f>
        <v>-40.9</v>
      </c>
      <c r="G19" s="3">
        <f t="shared" si="1"/>
        <v>-36.9</v>
      </c>
      <c r="H19" s="4" t="s">
        <v>29</v>
      </c>
      <c r="I19" t="s">
        <v>28</v>
      </c>
      <c r="K19" t="s">
        <v>681</v>
      </c>
      <c r="L19" t="s">
        <v>671</v>
      </c>
      <c r="N19" t="s">
        <v>688</v>
      </c>
      <c r="O19" t="s">
        <v>690</v>
      </c>
      <c r="P19" t="s">
        <v>687</v>
      </c>
      <c r="Q19" t="s">
        <v>688</v>
      </c>
      <c r="S19" t="s">
        <v>700</v>
      </c>
      <c r="T19" t="s">
        <v>704</v>
      </c>
    </row>
    <row r="20" spans="1:20" x14ac:dyDescent="0.2">
      <c r="A20" t="s">
        <v>612</v>
      </c>
      <c r="B20">
        <v>2</v>
      </c>
      <c r="C20" t="s">
        <v>30</v>
      </c>
      <c r="D20" t="s">
        <v>694</v>
      </c>
      <c r="E20" s="3">
        <v>-15.6</v>
      </c>
      <c r="F20" s="3">
        <f>42.1-55.2</f>
        <v>-13.100000000000001</v>
      </c>
      <c r="G20" s="3">
        <f t="shared" si="1"/>
        <v>-7.1999999999999993</v>
      </c>
      <c r="H20" s="4" t="s">
        <v>31</v>
      </c>
      <c r="I20" t="s">
        <v>30</v>
      </c>
      <c r="K20" t="s">
        <v>681</v>
      </c>
      <c r="L20" t="s">
        <v>671</v>
      </c>
      <c r="N20" t="s">
        <v>687</v>
      </c>
      <c r="O20" t="s">
        <v>689</v>
      </c>
      <c r="P20" t="s">
        <v>687</v>
      </c>
      <c r="Q20" t="s">
        <v>688</v>
      </c>
      <c r="S20" t="s">
        <v>700</v>
      </c>
      <c r="T20" t="s">
        <v>704</v>
      </c>
    </row>
    <row r="21" spans="1:20" x14ac:dyDescent="0.2">
      <c r="A21" t="s">
        <v>612</v>
      </c>
      <c r="B21">
        <v>3</v>
      </c>
      <c r="C21" t="s">
        <v>32</v>
      </c>
      <c r="D21" t="s">
        <v>694</v>
      </c>
      <c r="E21" s="3">
        <v>-24.9</v>
      </c>
      <c r="F21" s="3">
        <f>36.8-60.2</f>
        <v>-23.400000000000006</v>
      </c>
      <c r="G21" s="3">
        <f t="shared" si="1"/>
        <v>-16.5</v>
      </c>
      <c r="H21" s="4" t="s">
        <v>33</v>
      </c>
      <c r="I21" t="s">
        <v>32</v>
      </c>
      <c r="K21" t="s">
        <v>681</v>
      </c>
      <c r="L21" t="s">
        <v>671</v>
      </c>
      <c r="N21" t="s">
        <v>687</v>
      </c>
      <c r="O21" t="s">
        <v>689</v>
      </c>
      <c r="P21" t="s">
        <v>688</v>
      </c>
      <c r="Q21" t="s">
        <v>688</v>
      </c>
      <c r="S21" t="s">
        <v>700</v>
      </c>
      <c r="T21" t="s">
        <v>704</v>
      </c>
    </row>
    <row r="22" spans="1:20" x14ac:dyDescent="0.2">
      <c r="A22" t="s">
        <v>612</v>
      </c>
      <c r="B22">
        <v>4</v>
      </c>
      <c r="C22" t="s">
        <v>34</v>
      </c>
      <c r="D22" t="s">
        <v>694</v>
      </c>
      <c r="E22" s="3">
        <v>-39.9</v>
      </c>
      <c r="F22" s="3">
        <f>31-66.2</f>
        <v>-35.200000000000003</v>
      </c>
      <c r="G22" s="3">
        <f t="shared" si="1"/>
        <v>-31.5</v>
      </c>
      <c r="H22" s="4" t="s">
        <v>35</v>
      </c>
      <c r="I22" t="s">
        <v>34</v>
      </c>
      <c r="K22" t="s">
        <v>681</v>
      </c>
      <c r="L22" t="s">
        <v>671</v>
      </c>
      <c r="N22" t="s">
        <v>688</v>
      </c>
      <c r="O22" t="s">
        <v>689</v>
      </c>
      <c r="P22" t="s">
        <v>687</v>
      </c>
      <c r="Q22" t="s">
        <v>688</v>
      </c>
      <c r="S22" t="s">
        <v>700</v>
      </c>
      <c r="T22" t="s">
        <v>704</v>
      </c>
    </row>
    <row r="23" spans="1:20" x14ac:dyDescent="0.2">
      <c r="A23" t="s">
        <v>613</v>
      </c>
      <c r="B23">
        <v>1</v>
      </c>
      <c r="C23" t="s">
        <v>36</v>
      </c>
      <c r="D23" t="s">
        <v>696</v>
      </c>
      <c r="E23" s="3">
        <v>12.2</v>
      </c>
      <c r="F23" s="3">
        <f>57.6-39.8</f>
        <v>17.800000000000004</v>
      </c>
      <c r="G23" s="3">
        <f t="shared" si="1"/>
        <v>20.6</v>
      </c>
      <c r="H23" s="4" t="s">
        <v>741</v>
      </c>
      <c r="I23" s="4" t="s">
        <v>740</v>
      </c>
      <c r="J23" s="4"/>
      <c r="K23" t="s">
        <v>667</v>
      </c>
      <c r="L23" t="s">
        <v>672</v>
      </c>
      <c r="N23" t="s">
        <v>687</v>
      </c>
      <c r="O23" t="s">
        <v>689</v>
      </c>
      <c r="P23" t="s">
        <v>688</v>
      </c>
      <c r="Q23" t="s">
        <v>687</v>
      </c>
      <c r="S23" t="s">
        <v>699</v>
      </c>
      <c r="T23" t="s">
        <v>704</v>
      </c>
    </row>
    <row r="24" spans="1:20" x14ac:dyDescent="0.2">
      <c r="A24" t="s">
        <v>613</v>
      </c>
      <c r="B24">
        <v>2</v>
      </c>
      <c r="C24" t="s">
        <v>37</v>
      </c>
      <c r="D24" t="s">
        <v>695</v>
      </c>
      <c r="E24" s="3">
        <v>24.6</v>
      </c>
      <c r="F24" s="3">
        <f>63-34.6</f>
        <v>28.4</v>
      </c>
      <c r="G24" s="3">
        <f t="shared" si="1"/>
        <v>33</v>
      </c>
      <c r="H24" s="4" t="s">
        <v>37</v>
      </c>
      <c r="I24" t="s">
        <v>780</v>
      </c>
      <c r="K24" t="s">
        <v>667</v>
      </c>
      <c r="L24" t="s">
        <v>672</v>
      </c>
      <c r="N24" t="s">
        <v>689</v>
      </c>
      <c r="O24" t="s">
        <v>689</v>
      </c>
      <c r="P24" t="s">
        <v>688</v>
      </c>
      <c r="Q24" t="s">
        <v>688</v>
      </c>
      <c r="S24" t="s">
        <v>699</v>
      </c>
      <c r="T24" t="s">
        <v>704</v>
      </c>
    </row>
    <row r="25" spans="1:20" x14ac:dyDescent="0.2">
      <c r="A25" t="s">
        <v>613</v>
      </c>
      <c r="B25">
        <v>3</v>
      </c>
      <c r="C25" t="s">
        <v>743</v>
      </c>
      <c r="D25" t="s">
        <v>695</v>
      </c>
      <c r="E25" s="3">
        <v>10.1</v>
      </c>
      <c r="F25" s="3">
        <f>55.7-41.7</f>
        <v>14</v>
      </c>
      <c r="G25" s="3">
        <f t="shared" si="1"/>
        <v>18.5</v>
      </c>
      <c r="H25" s="6" t="s">
        <v>743</v>
      </c>
      <c r="I25" s="4" t="s">
        <v>742</v>
      </c>
      <c r="J25" s="4"/>
      <c r="K25" t="s">
        <v>667</v>
      </c>
      <c r="L25" t="s">
        <v>672</v>
      </c>
      <c r="N25" t="s">
        <v>689</v>
      </c>
      <c r="O25" t="s">
        <v>689</v>
      </c>
      <c r="P25" t="s">
        <v>688</v>
      </c>
      <c r="Q25" t="s">
        <v>687</v>
      </c>
      <c r="S25" t="s">
        <v>699</v>
      </c>
      <c r="T25" t="s">
        <v>704</v>
      </c>
    </row>
    <row r="26" spans="1:20" x14ac:dyDescent="0.2">
      <c r="A26" t="s">
        <v>613</v>
      </c>
      <c r="B26">
        <v>4</v>
      </c>
      <c r="C26" t="s">
        <v>38</v>
      </c>
      <c r="D26" t="s">
        <v>695</v>
      </c>
      <c r="E26" s="3">
        <v>14.5</v>
      </c>
      <c r="F26" s="3">
        <f>59.4-38.3</f>
        <v>21.1</v>
      </c>
      <c r="G26" s="3">
        <f t="shared" si="1"/>
        <v>22.9</v>
      </c>
      <c r="H26" s="6" t="s">
        <v>38</v>
      </c>
      <c r="J26" s="4" t="s">
        <v>811</v>
      </c>
      <c r="K26" t="s">
        <v>667</v>
      </c>
      <c r="L26" t="s">
        <v>672</v>
      </c>
      <c r="N26" t="s">
        <v>687</v>
      </c>
      <c r="O26" t="s">
        <v>687</v>
      </c>
      <c r="P26" t="s">
        <v>688</v>
      </c>
      <c r="Q26" t="s">
        <v>687</v>
      </c>
      <c r="S26" t="s">
        <v>699</v>
      </c>
      <c r="T26" t="s">
        <v>728</v>
      </c>
    </row>
    <row r="27" spans="1:20" x14ac:dyDescent="0.2">
      <c r="A27" t="s">
        <v>613</v>
      </c>
      <c r="B27">
        <v>5</v>
      </c>
      <c r="C27" t="s">
        <v>39</v>
      </c>
      <c r="D27" t="s">
        <v>694</v>
      </c>
      <c r="E27" s="3">
        <v>-20.6</v>
      </c>
      <c r="F27" s="3">
        <f>41.7-56.2</f>
        <v>-14.5</v>
      </c>
      <c r="G27" s="3">
        <f t="shared" si="1"/>
        <v>-12.200000000000001</v>
      </c>
      <c r="H27" s="4" t="s">
        <v>745</v>
      </c>
      <c r="I27" t="s">
        <v>39</v>
      </c>
      <c r="K27" t="s">
        <v>667</v>
      </c>
      <c r="L27" t="s">
        <v>671</v>
      </c>
      <c r="N27" t="s">
        <v>687</v>
      </c>
      <c r="O27" t="s">
        <v>687</v>
      </c>
      <c r="P27" t="s">
        <v>688</v>
      </c>
      <c r="Q27" t="s">
        <v>687</v>
      </c>
      <c r="S27" t="s">
        <v>699</v>
      </c>
      <c r="T27" t="s">
        <v>704</v>
      </c>
    </row>
    <row r="28" spans="1:20" x14ac:dyDescent="0.2">
      <c r="A28" t="s">
        <v>613</v>
      </c>
      <c r="B28">
        <v>6</v>
      </c>
      <c r="C28" t="s">
        <v>744</v>
      </c>
      <c r="D28" t="s">
        <v>694</v>
      </c>
      <c r="E28" s="3">
        <v>8.3000000000000007</v>
      </c>
      <c r="F28" s="3">
        <f>55-42.4</f>
        <v>12.600000000000001</v>
      </c>
      <c r="G28" s="3">
        <f t="shared" si="1"/>
        <v>16.700000000000003</v>
      </c>
      <c r="H28" s="4" t="s">
        <v>781</v>
      </c>
      <c r="I28" t="s">
        <v>744</v>
      </c>
      <c r="K28" t="s">
        <v>667</v>
      </c>
      <c r="L28" t="s">
        <v>672</v>
      </c>
      <c r="N28" t="s">
        <v>687</v>
      </c>
      <c r="O28" t="s">
        <v>687</v>
      </c>
      <c r="P28" t="s">
        <v>688</v>
      </c>
      <c r="Q28" t="s">
        <v>687</v>
      </c>
      <c r="S28" t="s">
        <v>699</v>
      </c>
      <c r="T28" t="s">
        <v>704</v>
      </c>
    </row>
    <row r="29" spans="1:20" x14ac:dyDescent="0.2">
      <c r="A29" t="s">
        <v>613</v>
      </c>
      <c r="B29">
        <v>7</v>
      </c>
      <c r="C29" t="s">
        <v>40</v>
      </c>
      <c r="D29" t="s">
        <v>695</v>
      </c>
      <c r="E29" s="3">
        <v>12.8</v>
      </c>
      <c r="F29" s="3">
        <f>58.7-39.1</f>
        <v>19.600000000000001</v>
      </c>
      <c r="G29" s="3">
        <f t="shared" si="1"/>
        <v>21.200000000000003</v>
      </c>
      <c r="H29" t="s">
        <v>40</v>
      </c>
      <c r="J29" s="4" t="s">
        <v>782</v>
      </c>
      <c r="K29" t="s">
        <v>667</v>
      </c>
      <c r="L29" t="s">
        <v>672</v>
      </c>
      <c r="N29" t="s">
        <v>687</v>
      </c>
      <c r="O29" t="s">
        <v>688</v>
      </c>
      <c r="P29" t="s">
        <v>687</v>
      </c>
      <c r="Q29" t="s">
        <v>687</v>
      </c>
      <c r="S29" t="s">
        <v>699</v>
      </c>
      <c r="T29" t="s">
        <v>728</v>
      </c>
    </row>
    <row r="30" spans="1:20" x14ac:dyDescent="0.2">
      <c r="A30" t="s">
        <v>613</v>
      </c>
      <c r="B30">
        <v>8</v>
      </c>
      <c r="C30" t="s">
        <v>41</v>
      </c>
      <c r="D30" t="s">
        <v>695</v>
      </c>
      <c r="E30" s="3">
        <v>34</v>
      </c>
      <c r="F30" s="3">
        <f>70.2-27.6</f>
        <v>42.6</v>
      </c>
      <c r="G30" s="3">
        <f t="shared" si="1"/>
        <v>42.4</v>
      </c>
      <c r="H30" t="s">
        <v>41</v>
      </c>
      <c r="I30" s="4" t="s">
        <v>783</v>
      </c>
      <c r="K30" t="s">
        <v>667</v>
      </c>
      <c r="L30" t="s">
        <v>670</v>
      </c>
      <c r="N30" t="s">
        <v>687</v>
      </c>
      <c r="O30" t="s">
        <v>688</v>
      </c>
      <c r="P30" t="s">
        <v>687</v>
      </c>
      <c r="Q30" t="s">
        <v>687</v>
      </c>
      <c r="S30" t="s">
        <v>699</v>
      </c>
      <c r="T30" t="s">
        <v>704</v>
      </c>
    </row>
    <row r="31" spans="1:20" x14ac:dyDescent="0.2">
      <c r="A31" t="s">
        <v>613</v>
      </c>
      <c r="B31">
        <v>9</v>
      </c>
      <c r="C31" t="s">
        <v>42</v>
      </c>
      <c r="D31" t="s">
        <v>695</v>
      </c>
      <c r="E31" s="3">
        <v>11.4</v>
      </c>
      <c r="F31" s="3">
        <f>62-35.8</f>
        <v>26.200000000000003</v>
      </c>
      <c r="G31" s="3">
        <f t="shared" si="1"/>
        <v>19.8</v>
      </c>
      <c r="H31" t="s">
        <v>42</v>
      </c>
      <c r="I31" s="4" t="s">
        <v>746</v>
      </c>
      <c r="J31" s="4"/>
      <c r="K31" t="s">
        <v>667</v>
      </c>
      <c r="L31" t="s">
        <v>670</v>
      </c>
      <c r="N31" t="s">
        <v>688</v>
      </c>
      <c r="O31" t="s">
        <v>688</v>
      </c>
      <c r="P31" t="s">
        <v>687</v>
      </c>
      <c r="Q31" t="s">
        <v>689</v>
      </c>
      <c r="S31" t="s">
        <v>699</v>
      </c>
      <c r="T31" t="s">
        <v>704</v>
      </c>
    </row>
    <row r="32" spans="1:20" x14ac:dyDescent="0.2">
      <c r="A32" t="s">
        <v>613</v>
      </c>
      <c r="B32">
        <v>10</v>
      </c>
      <c r="C32" t="s">
        <v>43</v>
      </c>
      <c r="D32" t="s">
        <v>695</v>
      </c>
      <c r="E32" s="3">
        <v>33.5</v>
      </c>
      <c r="F32" s="3">
        <f>68.2-29.6</f>
        <v>38.6</v>
      </c>
      <c r="G32" s="3">
        <f t="shared" si="1"/>
        <v>41.9</v>
      </c>
      <c r="H32" t="s">
        <v>43</v>
      </c>
      <c r="I32" s="4" t="s">
        <v>810</v>
      </c>
      <c r="K32" t="s">
        <v>667</v>
      </c>
      <c r="L32" t="s">
        <v>669</v>
      </c>
      <c r="N32" t="s">
        <v>690</v>
      </c>
      <c r="O32" t="s">
        <v>687</v>
      </c>
      <c r="P32" t="s">
        <v>688</v>
      </c>
      <c r="Q32" t="s">
        <v>687</v>
      </c>
      <c r="S32" t="s">
        <v>699</v>
      </c>
      <c r="T32" t="s">
        <v>704</v>
      </c>
    </row>
    <row r="33" spans="1:20" x14ac:dyDescent="0.2">
      <c r="A33" t="s">
        <v>613</v>
      </c>
      <c r="B33">
        <v>11</v>
      </c>
      <c r="C33" t="s">
        <v>44</v>
      </c>
      <c r="D33" t="s">
        <v>695</v>
      </c>
      <c r="E33" s="3">
        <v>67.7</v>
      </c>
      <c r="F33" s="3">
        <f>86.3-11.7</f>
        <v>74.599999999999994</v>
      </c>
      <c r="G33" s="3">
        <f t="shared" si="1"/>
        <v>76.100000000000009</v>
      </c>
      <c r="H33" s="4" t="s">
        <v>738</v>
      </c>
      <c r="J33" s="4" t="s">
        <v>748</v>
      </c>
      <c r="K33" t="s">
        <v>667</v>
      </c>
      <c r="L33" t="s">
        <v>668</v>
      </c>
      <c r="N33" t="s">
        <v>690</v>
      </c>
      <c r="O33" t="s">
        <v>688</v>
      </c>
      <c r="P33" t="s">
        <v>688</v>
      </c>
      <c r="Q33" t="s">
        <v>688</v>
      </c>
      <c r="S33" t="s">
        <v>699</v>
      </c>
      <c r="T33" t="s">
        <v>728</v>
      </c>
    </row>
    <row r="34" spans="1:20" x14ac:dyDescent="0.2">
      <c r="A34" t="s">
        <v>613</v>
      </c>
      <c r="B34">
        <v>12</v>
      </c>
      <c r="C34" t="s">
        <v>45</v>
      </c>
      <c r="D34" t="s">
        <v>695</v>
      </c>
      <c r="E34" s="3">
        <v>73.8</v>
      </c>
      <c r="F34" s="3">
        <f>89.3-8.6</f>
        <v>80.7</v>
      </c>
      <c r="G34" s="3">
        <f t="shared" si="1"/>
        <v>82.2</v>
      </c>
      <c r="H34" t="s">
        <v>45</v>
      </c>
      <c r="J34" s="4" t="s">
        <v>749</v>
      </c>
      <c r="K34" t="s">
        <v>667</v>
      </c>
      <c r="L34" t="s">
        <v>668</v>
      </c>
      <c r="N34" t="s">
        <v>690</v>
      </c>
      <c r="O34" t="s">
        <v>688</v>
      </c>
      <c r="P34" t="s">
        <v>687</v>
      </c>
      <c r="Q34" t="s">
        <v>687</v>
      </c>
      <c r="S34" t="s">
        <v>699</v>
      </c>
      <c r="T34" t="s">
        <v>728</v>
      </c>
    </row>
    <row r="35" spans="1:20" x14ac:dyDescent="0.2">
      <c r="A35" t="s">
        <v>613</v>
      </c>
      <c r="B35">
        <v>13</v>
      </c>
      <c r="C35" t="s">
        <v>46</v>
      </c>
      <c r="D35" t="s">
        <v>695</v>
      </c>
      <c r="E35" s="3">
        <v>0.4</v>
      </c>
      <c r="F35" s="3">
        <f>57.7-40</f>
        <v>17.700000000000003</v>
      </c>
      <c r="G35" s="3">
        <f t="shared" si="1"/>
        <v>8.8000000000000007</v>
      </c>
      <c r="H35" t="s">
        <v>46</v>
      </c>
      <c r="I35" s="4" t="s">
        <v>767</v>
      </c>
      <c r="K35" t="s">
        <v>667</v>
      </c>
      <c r="L35" t="s">
        <v>672</v>
      </c>
      <c r="N35" t="s">
        <v>688</v>
      </c>
      <c r="O35" t="s">
        <v>688</v>
      </c>
      <c r="P35" t="s">
        <v>688</v>
      </c>
      <c r="Q35" t="s">
        <v>690</v>
      </c>
      <c r="S35" t="s">
        <v>699</v>
      </c>
      <c r="T35" t="s">
        <v>704</v>
      </c>
    </row>
    <row r="36" spans="1:20" x14ac:dyDescent="0.2">
      <c r="A36" t="s">
        <v>613</v>
      </c>
      <c r="B36">
        <v>14</v>
      </c>
      <c r="C36" t="s">
        <v>47</v>
      </c>
      <c r="D36" t="s">
        <v>696</v>
      </c>
      <c r="E36" s="3">
        <v>34.700000000000003</v>
      </c>
      <c r="F36" s="3">
        <f>71.7-26.2</f>
        <v>45.5</v>
      </c>
      <c r="G36" s="3">
        <f t="shared" si="1"/>
        <v>43.1</v>
      </c>
      <c r="H36" s="4" t="s">
        <v>750</v>
      </c>
      <c r="J36" s="4" t="s">
        <v>808</v>
      </c>
      <c r="K36" t="s">
        <v>667</v>
      </c>
      <c r="L36" t="s">
        <v>669</v>
      </c>
      <c r="N36" t="s">
        <v>690</v>
      </c>
      <c r="O36" t="s">
        <v>688</v>
      </c>
      <c r="P36" t="s">
        <v>688</v>
      </c>
      <c r="Q36" t="s">
        <v>687</v>
      </c>
      <c r="S36" t="s">
        <v>699</v>
      </c>
      <c r="T36" t="s">
        <v>728</v>
      </c>
    </row>
    <row r="37" spans="1:20" x14ac:dyDescent="0.2">
      <c r="A37" t="s">
        <v>613</v>
      </c>
      <c r="B37">
        <v>15</v>
      </c>
      <c r="C37" t="s">
        <v>48</v>
      </c>
      <c r="D37" t="s">
        <v>695</v>
      </c>
      <c r="E37" s="3">
        <v>47.8</v>
      </c>
      <c r="F37" s="3">
        <f>77.7-20.4</f>
        <v>57.300000000000004</v>
      </c>
      <c r="G37" s="3">
        <f t="shared" si="1"/>
        <v>56.199999999999996</v>
      </c>
      <c r="H37" t="s">
        <v>48</v>
      </c>
      <c r="I37" s="4" t="s">
        <v>751</v>
      </c>
      <c r="K37" t="s">
        <v>667</v>
      </c>
      <c r="L37" t="s">
        <v>669</v>
      </c>
      <c r="N37" t="s">
        <v>689</v>
      </c>
      <c r="O37" t="s">
        <v>688</v>
      </c>
      <c r="P37" t="s">
        <v>688</v>
      </c>
      <c r="Q37" t="s">
        <v>687</v>
      </c>
      <c r="S37" t="s">
        <v>699</v>
      </c>
      <c r="T37" t="s">
        <v>704</v>
      </c>
    </row>
    <row r="38" spans="1:20" x14ac:dyDescent="0.2">
      <c r="A38" t="s">
        <v>613</v>
      </c>
      <c r="B38">
        <v>16</v>
      </c>
      <c r="C38" t="s">
        <v>49</v>
      </c>
      <c r="D38" t="s">
        <v>695</v>
      </c>
      <c r="E38" s="3">
        <v>48.1</v>
      </c>
      <c r="F38" s="3">
        <f>75.3-22.5</f>
        <v>52.8</v>
      </c>
      <c r="G38" s="3">
        <f t="shared" si="1"/>
        <v>56.5</v>
      </c>
      <c r="H38" t="s">
        <v>49</v>
      </c>
      <c r="I38" s="4" t="s">
        <v>812</v>
      </c>
      <c r="K38" t="s">
        <v>667</v>
      </c>
      <c r="L38" t="s">
        <v>669</v>
      </c>
      <c r="N38" t="s">
        <v>690</v>
      </c>
      <c r="O38" t="s">
        <v>687</v>
      </c>
      <c r="P38" t="s">
        <v>688</v>
      </c>
      <c r="Q38" t="s">
        <v>687</v>
      </c>
      <c r="S38" t="s">
        <v>699</v>
      </c>
      <c r="T38" t="s">
        <v>704</v>
      </c>
    </row>
    <row r="39" spans="1:20" x14ac:dyDescent="0.2">
      <c r="A39" t="s">
        <v>613</v>
      </c>
      <c r="B39">
        <v>17</v>
      </c>
      <c r="C39" t="s">
        <v>50</v>
      </c>
      <c r="D39" t="s">
        <v>695</v>
      </c>
      <c r="E39" s="3">
        <v>38.9</v>
      </c>
      <c r="F39" s="3">
        <f>73.1-24.9</f>
        <v>48.199999999999996</v>
      </c>
      <c r="G39" s="3">
        <f t="shared" si="1"/>
        <v>47.3</v>
      </c>
      <c r="H39" t="s">
        <v>50</v>
      </c>
      <c r="I39" s="4" t="s">
        <v>776</v>
      </c>
      <c r="K39" t="s">
        <v>667</v>
      </c>
      <c r="L39" t="s">
        <v>668</v>
      </c>
      <c r="N39" t="s">
        <v>690</v>
      </c>
      <c r="O39" t="s">
        <v>688</v>
      </c>
      <c r="P39" t="s">
        <v>688</v>
      </c>
      <c r="Q39" t="s">
        <v>687</v>
      </c>
      <c r="S39" t="s">
        <v>699</v>
      </c>
      <c r="T39" t="s">
        <v>704</v>
      </c>
    </row>
    <row r="40" spans="1:20" x14ac:dyDescent="0.2">
      <c r="A40" t="s">
        <v>613</v>
      </c>
      <c r="B40">
        <v>18</v>
      </c>
      <c r="C40" t="s">
        <v>51</v>
      </c>
      <c r="D40" t="s">
        <v>695</v>
      </c>
      <c r="E40" s="3">
        <v>28.4</v>
      </c>
      <c r="F40" s="3">
        <f>70.3-27.6</f>
        <v>42.699999999999996</v>
      </c>
      <c r="G40" s="3">
        <f t="shared" si="1"/>
        <v>36.799999999999997</v>
      </c>
      <c r="H40" t="s">
        <v>51</v>
      </c>
      <c r="I40" s="4" t="s">
        <v>752</v>
      </c>
      <c r="K40" t="s">
        <v>667</v>
      </c>
      <c r="L40" t="s">
        <v>672</v>
      </c>
      <c r="N40" t="s">
        <v>688</v>
      </c>
      <c r="O40" t="s">
        <v>688</v>
      </c>
      <c r="P40" t="s">
        <v>688</v>
      </c>
      <c r="Q40" t="s">
        <v>690</v>
      </c>
      <c r="S40" t="s">
        <v>699</v>
      </c>
      <c r="T40" t="s">
        <v>704</v>
      </c>
    </row>
    <row r="41" spans="1:20" x14ac:dyDescent="0.2">
      <c r="A41" t="s">
        <v>613</v>
      </c>
      <c r="B41">
        <v>19</v>
      </c>
      <c r="C41" t="s">
        <v>52</v>
      </c>
      <c r="D41" t="s">
        <v>695</v>
      </c>
      <c r="E41" s="3">
        <v>34.299999999999997</v>
      </c>
      <c r="F41" s="3">
        <f>68.7-29.1</f>
        <v>39.6</v>
      </c>
      <c r="G41" s="3">
        <f t="shared" si="1"/>
        <v>42.699999999999996</v>
      </c>
      <c r="H41" t="s">
        <v>52</v>
      </c>
      <c r="I41" s="4" t="s">
        <v>753</v>
      </c>
      <c r="K41" t="s">
        <v>667</v>
      </c>
      <c r="L41" t="s">
        <v>672</v>
      </c>
      <c r="N41" t="s">
        <v>689</v>
      </c>
      <c r="O41" t="s">
        <v>687</v>
      </c>
      <c r="P41" t="s">
        <v>688</v>
      </c>
      <c r="Q41" t="s">
        <v>687</v>
      </c>
      <c r="S41" t="s">
        <v>699</v>
      </c>
      <c r="T41" t="s">
        <v>704</v>
      </c>
    </row>
    <row r="42" spans="1:20" x14ac:dyDescent="0.2">
      <c r="A42" t="s">
        <v>613</v>
      </c>
      <c r="B42">
        <v>20</v>
      </c>
      <c r="C42" t="s">
        <v>53</v>
      </c>
      <c r="D42" t="s">
        <v>694</v>
      </c>
      <c r="E42" s="3">
        <v>-32.200000000000003</v>
      </c>
      <c r="F42" s="3">
        <f>35.8-62</f>
        <v>-26.200000000000003</v>
      </c>
      <c r="G42" s="3">
        <f t="shared" si="1"/>
        <v>-23.800000000000004</v>
      </c>
      <c r="H42" s="4" t="s">
        <v>754</v>
      </c>
      <c r="I42" t="s">
        <v>53</v>
      </c>
      <c r="K42" t="s">
        <v>667</v>
      </c>
      <c r="L42" t="s">
        <v>671</v>
      </c>
      <c r="N42" t="s">
        <v>688</v>
      </c>
      <c r="O42" t="s">
        <v>687</v>
      </c>
      <c r="P42" t="s">
        <v>688</v>
      </c>
      <c r="Q42" t="s">
        <v>689</v>
      </c>
      <c r="S42" t="s">
        <v>699</v>
      </c>
      <c r="T42" t="s">
        <v>704</v>
      </c>
    </row>
    <row r="43" spans="1:20" x14ac:dyDescent="0.2">
      <c r="A43" t="s">
        <v>613</v>
      </c>
      <c r="B43">
        <v>21</v>
      </c>
      <c r="C43" t="s">
        <v>54</v>
      </c>
      <c r="D43" t="s">
        <v>695</v>
      </c>
      <c r="E43" s="3">
        <v>6</v>
      </c>
      <c r="F43" s="3">
        <f>59.5-38.4</f>
        <v>21.1</v>
      </c>
      <c r="G43" s="3">
        <f t="shared" si="1"/>
        <v>14.4</v>
      </c>
      <c r="H43" t="s">
        <v>54</v>
      </c>
      <c r="I43" s="4" t="s">
        <v>769</v>
      </c>
      <c r="K43" t="s">
        <v>667</v>
      </c>
      <c r="L43" t="s">
        <v>672</v>
      </c>
      <c r="N43" t="s">
        <v>688</v>
      </c>
      <c r="O43" t="s">
        <v>688</v>
      </c>
      <c r="P43" t="s">
        <v>688</v>
      </c>
      <c r="Q43" t="s">
        <v>690</v>
      </c>
      <c r="S43" t="s">
        <v>699</v>
      </c>
      <c r="T43" t="s">
        <v>704</v>
      </c>
    </row>
    <row r="44" spans="1:20" x14ac:dyDescent="0.2">
      <c r="A44" t="s">
        <v>613</v>
      </c>
      <c r="B44">
        <v>22</v>
      </c>
      <c r="C44" t="s">
        <v>55</v>
      </c>
      <c r="D44" t="s">
        <v>694</v>
      </c>
      <c r="E44" s="3">
        <v>-1.8</v>
      </c>
      <c r="F44" s="3">
        <f>57.3-40.3</f>
        <v>17</v>
      </c>
      <c r="G44" s="3">
        <f t="shared" si="1"/>
        <v>6.6000000000000005</v>
      </c>
      <c r="H44" s="4" t="s">
        <v>784</v>
      </c>
      <c r="I44" t="s">
        <v>55</v>
      </c>
      <c r="K44" t="s">
        <v>667</v>
      </c>
      <c r="L44" t="s">
        <v>671</v>
      </c>
      <c r="N44" t="s">
        <v>688</v>
      </c>
      <c r="O44" t="s">
        <v>688</v>
      </c>
      <c r="P44" t="s">
        <v>688</v>
      </c>
      <c r="Q44" t="s">
        <v>690</v>
      </c>
      <c r="S44" t="s">
        <v>699</v>
      </c>
      <c r="T44" t="s">
        <v>704</v>
      </c>
    </row>
    <row r="45" spans="1:20" x14ac:dyDescent="0.2">
      <c r="A45" t="s">
        <v>613</v>
      </c>
      <c r="B45">
        <v>23</v>
      </c>
      <c r="C45" t="s">
        <v>56</v>
      </c>
      <c r="D45" t="s">
        <v>694</v>
      </c>
      <c r="E45" s="3">
        <v>-19.3</v>
      </c>
      <c r="F45" s="3">
        <f>42.8-54.9</f>
        <v>-12.100000000000001</v>
      </c>
      <c r="G45" s="3">
        <f t="shared" si="1"/>
        <v>-10.9</v>
      </c>
      <c r="H45" s="4" t="s">
        <v>774</v>
      </c>
      <c r="I45" t="s">
        <v>56</v>
      </c>
      <c r="K45" t="s">
        <v>667</v>
      </c>
      <c r="L45" t="s">
        <v>671</v>
      </c>
      <c r="N45" t="s">
        <v>688</v>
      </c>
      <c r="O45" t="s">
        <v>688</v>
      </c>
      <c r="P45" t="s">
        <v>688</v>
      </c>
      <c r="Q45" t="s">
        <v>689</v>
      </c>
      <c r="S45" t="s">
        <v>699</v>
      </c>
      <c r="T45" t="s">
        <v>704</v>
      </c>
    </row>
    <row r="46" spans="1:20" x14ac:dyDescent="0.2">
      <c r="A46" t="s">
        <v>613</v>
      </c>
      <c r="B46">
        <v>24</v>
      </c>
      <c r="C46" t="s">
        <v>57</v>
      </c>
      <c r="D46" t="s">
        <v>695</v>
      </c>
      <c r="E46" s="3">
        <v>24.9</v>
      </c>
      <c r="F46" s="3">
        <f>63.3-34.3</f>
        <v>29</v>
      </c>
      <c r="G46" s="3">
        <f t="shared" si="1"/>
        <v>33.299999999999997</v>
      </c>
      <c r="H46" t="s">
        <v>57</v>
      </c>
      <c r="I46" s="4" t="s">
        <v>735</v>
      </c>
      <c r="J46" s="4"/>
      <c r="K46" t="s">
        <v>667</v>
      </c>
      <c r="L46" t="s">
        <v>672</v>
      </c>
      <c r="N46" t="s">
        <v>689</v>
      </c>
      <c r="O46" t="s">
        <v>687</v>
      </c>
      <c r="P46" t="s">
        <v>688</v>
      </c>
      <c r="Q46" t="s">
        <v>689</v>
      </c>
      <c r="S46" t="s">
        <v>699</v>
      </c>
      <c r="T46" t="s">
        <v>704</v>
      </c>
    </row>
    <row r="47" spans="1:20" x14ac:dyDescent="0.2">
      <c r="A47" t="s">
        <v>613</v>
      </c>
      <c r="B47">
        <v>25</v>
      </c>
      <c r="C47" t="s">
        <v>58</v>
      </c>
      <c r="D47" t="s">
        <v>695</v>
      </c>
      <c r="E47" s="3">
        <v>5.8</v>
      </c>
      <c r="F47" s="3">
        <f>57.3-40.8</f>
        <v>16.5</v>
      </c>
      <c r="G47" s="3">
        <f t="shared" si="1"/>
        <v>14.2</v>
      </c>
      <c r="H47" t="s">
        <v>58</v>
      </c>
      <c r="I47" s="4" t="s">
        <v>773</v>
      </c>
      <c r="K47" t="s">
        <v>667</v>
      </c>
      <c r="L47" t="s">
        <v>672</v>
      </c>
      <c r="N47" t="s">
        <v>688</v>
      </c>
      <c r="O47" t="s">
        <v>688</v>
      </c>
      <c r="P47" t="s">
        <v>688</v>
      </c>
      <c r="Q47" t="s">
        <v>690</v>
      </c>
      <c r="S47" t="s">
        <v>699</v>
      </c>
      <c r="T47" t="s">
        <v>704</v>
      </c>
    </row>
    <row r="48" spans="1:20" x14ac:dyDescent="0.2">
      <c r="A48" t="s">
        <v>613</v>
      </c>
      <c r="B48">
        <v>26</v>
      </c>
      <c r="C48" t="s">
        <v>59</v>
      </c>
      <c r="D48" t="s">
        <v>695</v>
      </c>
      <c r="E48" s="3">
        <v>15.2</v>
      </c>
      <c r="F48" s="3">
        <f>60.2-37.8</f>
        <v>22.400000000000006</v>
      </c>
      <c r="G48" s="3">
        <f t="shared" si="1"/>
        <v>23.6</v>
      </c>
      <c r="H48" s="4" t="s">
        <v>736</v>
      </c>
      <c r="I48" s="4" t="s">
        <v>768</v>
      </c>
      <c r="K48" t="s">
        <v>667</v>
      </c>
      <c r="L48" t="s">
        <v>669</v>
      </c>
      <c r="N48" t="s">
        <v>689</v>
      </c>
      <c r="O48" t="s">
        <v>687</v>
      </c>
      <c r="P48" t="s">
        <v>688</v>
      </c>
      <c r="Q48" t="s">
        <v>689</v>
      </c>
      <c r="S48" t="s">
        <v>699</v>
      </c>
      <c r="T48" t="s">
        <v>704</v>
      </c>
    </row>
    <row r="49" spans="1:20" x14ac:dyDescent="0.2">
      <c r="A49" t="s">
        <v>613</v>
      </c>
      <c r="B49">
        <v>27</v>
      </c>
      <c r="C49" t="s">
        <v>60</v>
      </c>
      <c r="D49" t="s">
        <v>695</v>
      </c>
      <c r="E49" s="3">
        <v>9.6999999999999993</v>
      </c>
      <c r="F49" s="3">
        <f>58.7-39.1</f>
        <v>19.600000000000001</v>
      </c>
      <c r="G49" s="3">
        <f t="shared" si="1"/>
        <v>18.100000000000001</v>
      </c>
      <c r="H49" t="s">
        <v>60</v>
      </c>
      <c r="I49" s="4" t="s">
        <v>739</v>
      </c>
      <c r="J49" s="4"/>
      <c r="K49" t="s">
        <v>667</v>
      </c>
      <c r="L49" t="s">
        <v>672</v>
      </c>
      <c r="N49" t="s">
        <v>687</v>
      </c>
      <c r="O49" t="s">
        <v>688</v>
      </c>
      <c r="P49" t="s">
        <v>687</v>
      </c>
      <c r="Q49" t="s">
        <v>689</v>
      </c>
      <c r="S49" t="s">
        <v>699</v>
      </c>
      <c r="T49" t="s">
        <v>704</v>
      </c>
    </row>
    <row r="50" spans="1:20" x14ac:dyDescent="0.2">
      <c r="A50" t="s">
        <v>613</v>
      </c>
      <c r="B50">
        <v>28</v>
      </c>
      <c r="C50" t="s">
        <v>61</v>
      </c>
      <c r="D50" t="s">
        <v>695</v>
      </c>
      <c r="E50" s="3">
        <v>25.2</v>
      </c>
      <c r="F50" s="3">
        <f>65.4-32.7</f>
        <v>32.700000000000003</v>
      </c>
      <c r="G50" s="3">
        <f t="shared" si="1"/>
        <v>33.6</v>
      </c>
      <c r="H50" t="s">
        <v>61</v>
      </c>
      <c r="I50" s="4" t="s">
        <v>755</v>
      </c>
      <c r="K50" t="s">
        <v>667</v>
      </c>
      <c r="L50" t="s">
        <v>672</v>
      </c>
      <c r="N50" t="s">
        <v>689</v>
      </c>
      <c r="O50" t="s">
        <v>688</v>
      </c>
      <c r="P50" t="s">
        <v>688</v>
      </c>
      <c r="Q50" t="s">
        <v>687</v>
      </c>
      <c r="S50" t="s">
        <v>699</v>
      </c>
      <c r="T50" t="s">
        <v>704</v>
      </c>
    </row>
    <row r="51" spans="1:20" x14ac:dyDescent="0.2">
      <c r="A51" t="s">
        <v>613</v>
      </c>
      <c r="B51">
        <v>29</v>
      </c>
      <c r="C51" t="s">
        <v>62</v>
      </c>
      <c r="D51" t="s">
        <v>695</v>
      </c>
      <c r="E51" s="3">
        <v>33.6</v>
      </c>
      <c r="F51" s="3">
        <f>73.9-24</f>
        <v>49.900000000000006</v>
      </c>
      <c r="G51" s="3">
        <f t="shared" si="1"/>
        <v>42</v>
      </c>
      <c r="H51" t="s">
        <v>62</v>
      </c>
      <c r="J51" s="4" t="s">
        <v>785</v>
      </c>
      <c r="K51" t="s">
        <v>667</v>
      </c>
      <c r="L51" t="s">
        <v>668</v>
      </c>
      <c r="N51" t="s">
        <v>688</v>
      </c>
      <c r="O51" t="s">
        <v>688</v>
      </c>
      <c r="P51" t="s">
        <v>688</v>
      </c>
      <c r="Q51" t="s">
        <v>690</v>
      </c>
      <c r="S51" t="s">
        <v>699</v>
      </c>
      <c r="T51" t="s">
        <v>728</v>
      </c>
    </row>
    <row r="52" spans="1:20" x14ac:dyDescent="0.2">
      <c r="A52" t="s">
        <v>613</v>
      </c>
      <c r="B52">
        <v>30</v>
      </c>
      <c r="C52" t="s">
        <v>63</v>
      </c>
      <c r="D52" t="s">
        <v>695</v>
      </c>
      <c r="E52" s="3">
        <v>39.9</v>
      </c>
      <c r="F52" s="3">
        <f>71.6-26.6</f>
        <v>44.999999999999993</v>
      </c>
      <c r="G52" s="3">
        <f t="shared" si="1"/>
        <v>48.3</v>
      </c>
      <c r="H52" t="s">
        <v>63</v>
      </c>
      <c r="I52" s="4" t="s">
        <v>786</v>
      </c>
      <c r="K52" t="s">
        <v>667</v>
      </c>
      <c r="L52" t="s">
        <v>672</v>
      </c>
      <c r="N52" t="s">
        <v>690</v>
      </c>
      <c r="O52" t="s">
        <v>687</v>
      </c>
      <c r="P52" t="s">
        <v>688</v>
      </c>
      <c r="Q52" t="s">
        <v>687</v>
      </c>
      <c r="S52" t="s">
        <v>699</v>
      </c>
      <c r="T52" t="s">
        <v>704</v>
      </c>
    </row>
    <row r="53" spans="1:20" x14ac:dyDescent="0.2">
      <c r="A53" t="s">
        <v>613</v>
      </c>
      <c r="B53">
        <v>31</v>
      </c>
      <c r="C53" t="s">
        <v>64</v>
      </c>
      <c r="D53" t="s">
        <v>695</v>
      </c>
      <c r="E53" s="3">
        <v>12.2</v>
      </c>
      <c r="F53" s="3">
        <f>61.5-36.4</f>
        <v>25.1</v>
      </c>
      <c r="G53" s="3">
        <f t="shared" si="1"/>
        <v>20.6</v>
      </c>
      <c r="H53" t="s">
        <v>64</v>
      </c>
      <c r="I53" s="4" t="s">
        <v>756</v>
      </c>
      <c r="K53" t="s">
        <v>667</v>
      </c>
      <c r="L53" t="s">
        <v>669</v>
      </c>
      <c r="N53" t="s">
        <v>687</v>
      </c>
      <c r="O53" t="s">
        <v>688</v>
      </c>
      <c r="P53" t="s">
        <v>688</v>
      </c>
      <c r="Q53" t="s">
        <v>690</v>
      </c>
      <c r="S53" t="s">
        <v>699</v>
      </c>
      <c r="T53" t="s">
        <v>704</v>
      </c>
    </row>
    <row r="54" spans="1:20" x14ac:dyDescent="0.2">
      <c r="A54" t="s">
        <v>613</v>
      </c>
      <c r="B54">
        <v>32</v>
      </c>
      <c r="C54" t="s">
        <v>65</v>
      </c>
      <c r="D54" t="s">
        <v>695</v>
      </c>
      <c r="E54" s="3">
        <v>25</v>
      </c>
      <c r="F54" s="3">
        <f>65.9-32.2</f>
        <v>33.700000000000003</v>
      </c>
      <c r="G54" s="3">
        <f t="shared" si="1"/>
        <v>33.4</v>
      </c>
      <c r="H54" t="s">
        <v>65</v>
      </c>
      <c r="I54" s="4" t="s">
        <v>757</v>
      </c>
      <c r="K54" t="s">
        <v>667</v>
      </c>
      <c r="L54" t="s">
        <v>669</v>
      </c>
      <c r="N54" t="s">
        <v>690</v>
      </c>
      <c r="O54" t="s">
        <v>687</v>
      </c>
      <c r="P54" t="s">
        <v>688</v>
      </c>
      <c r="Q54" t="s">
        <v>687</v>
      </c>
      <c r="S54" t="s">
        <v>699</v>
      </c>
      <c r="T54" t="s">
        <v>704</v>
      </c>
    </row>
    <row r="55" spans="1:20" x14ac:dyDescent="0.2">
      <c r="A55" t="s">
        <v>613</v>
      </c>
      <c r="B55">
        <v>33</v>
      </c>
      <c r="C55" t="s">
        <v>66</v>
      </c>
      <c r="D55" t="s">
        <v>695</v>
      </c>
      <c r="E55" s="3">
        <v>9.8000000000000007</v>
      </c>
      <c r="F55" s="3">
        <f>61.8-35.9</f>
        <v>25.9</v>
      </c>
      <c r="G55" s="3">
        <f t="shared" si="1"/>
        <v>18.200000000000003</v>
      </c>
      <c r="H55" t="s">
        <v>66</v>
      </c>
      <c r="I55" s="4" t="s">
        <v>772</v>
      </c>
      <c r="K55" t="s">
        <v>667</v>
      </c>
      <c r="L55" t="s">
        <v>669</v>
      </c>
      <c r="N55" t="s">
        <v>688</v>
      </c>
      <c r="O55" t="s">
        <v>688</v>
      </c>
      <c r="P55" t="s">
        <v>687</v>
      </c>
      <c r="Q55" t="s">
        <v>690</v>
      </c>
      <c r="S55" t="s">
        <v>699</v>
      </c>
      <c r="T55" t="s">
        <v>704</v>
      </c>
    </row>
    <row r="56" spans="1:20" x14ac:dyDescent="0.2">
      <c r="A56" t="s">
        <v>613</v>
      </c>
      <c r="B56">
        <v>34</v>
      </c>
      <c r="C56" t="s">
        <v>67</v>
      </c>
      <c r="D56" t="s">
        <v>695</v>
      </c>
      <c r="E56" s="3">
        <v>50.6</v>
      </c>
      <c r="F56" s="3">
        <f>80.9-16.7</f>
        <v>64.2</v>
      </c>
      <c r="G56" s="3">
        <f t="shared" si="1"/>
        <v>59</v>
      </c>
      <c r="H56" t="s">
        <v>67</v>
      </c>
      <c r="J56" s="4" t="s">
        <v>787</v>
      </c>
      <c r="K56" t="s">
        <v>667</v>
      </c>
      <c r="L56" t="s">
        <v>668</v>
      </c>
      <c r="N56" t="s">
        <v>687</v>
      </c>
      <c r="O56" t="s">
        <v>688</v>
      </c>
      <c r="P56" t="s">
        <v>688</v>
      </c>
      <c r="Q56" t="s">
        <v>690</v>
      </c>
      <c r="S56" t="s">
        <v>699</v>
      </c>
      <c r="T56" t="s">
        <v>728</v>
      </c>
    </row>
    <row r="57" spans="1:20" x14ac:dyDescent="0.2">
      <c r="A57" t="s">
        <v>613</v>
      </c>
      <c r="B57">
        <v>35</v>
      </c>
      <c r="C57" t="s">
        <v>68</v>
      </c>
      <c r="D57" t="s">
        <v>695</v>
      </c>
      <c r="E57" s="3">
        <v>7.7</v>
      </c>
      <c r="F57" s="3">
        <f>60.7-37.2</f>
        <v>23.5</v>
      </c>
      <c r="G57" s="3">
        <f t="shared" si="1"/>
        <v>16.100000000000001</v>
      </c>
      <c r="H57" t="s">
        <v>68</v>
      </c>
      <c r="I57" s="4" t="s">
        <v>729</v>
      </c>
      <c r="J57" s="4"/>
      <c r="K57" t="s">
        <v>667</v>
      </c>
      <c r="L57" t="s">
        <v>668</v>
      </c>
      <c r="N57" t="s">
        <v>688</v>
      </c>
      <c r="O57" t="s">
        <v>688</v>
      </c>
      <c r="P57" t="s">
        <v>688</v>
      </c>
      <c r="Q57" t="s">
        <v>690</v>
      </c>
      <c r="S57" t="s">
        <v>699</v>
      </c>
      <c r="T57" t="s">
        <v>704</v>
      </c>
    </row>
    <row r="58" spans="1:20" x14ac:dyDescent="0.2">
      <c r="A58" t="s">
        <v>613</v>
      </c>
      <c r="B58">
        <v>36</v>
      </c>
      <c r="C58" t="s">
        <v>69</v>
      </c>
      <c r="D58" t="s">
        <v>695</v>
      </c>
      <c r="E58" s="3">
        <v>39</v>
      </c>
      <c r="F58" s="3">
        <f>71-26.9</f>
        <v>44.1</v>
      </c>
      <c r="G58" s="3">
        <f t="shared" si="1"/>
        <v>47.4</v>
      </c>
      <c r="H58" t="s">
        <v>69</v>
      </c>
      <c r="I58" s="4" t="s">
        <v>788</v>
      </c>
      <c r="K58" t="s">
        <v>667</v>
      </c>
      <c r="L58" t="s">
        <v>668</v>
      </c>
      <c r="N58" t="s">
        <v>690</v>
      </c>
      <c r="O58" t="s">
        <v>687</v>
      </c>
      <c r="P58" t="s">
        <v>687</v>
      </c>
      <c r="Q58" t="s">
        <v>687</v>
      </c>
      <c r="S58" t="s">
        <v>699</v>
      </c>
      <c r="T58" t="s">
        <v>704</v>
      </c>
    </row>
    <row r="59" spans="1:20" x14ac:dyDescent="0.2">
      <c r="A59" t="s">
        <v>613</v>
      </c>
      <c r="B59">
        <v>37</v>
      </c>
      <c r="C59" t="s">
        <v>70</v>
      </c>
      <c r="D59" t="s">
        <v>695</v>
      </c>
      <c r="E59" s="3">
        <v>60.4</v>
      </c>
      <c r="F59" s="3">
        <f>85.7-12.4</f>
        <v>73.3</v>
      </c>
      <c r="G59" s="3">
        <f t="shared" si="1"/>
        <v>68.8</v>
      </c>
      <c r="H59" t="s">
        <v>70</v>
      </c>
      <c r="J59" s="4" t="s">
        <v>789</v>
      </c>
      <c r="K59" t="s">
        <v>667</v>
      </c>
      <c r="L59" t="s">
        <v>668</v>
      </c>
      <c r="N59" t="s">
        <v>687</v>
      </c>
      <c r="O59" t="s">
        <v>688</v>
      </c>
      <c r="P59" t="s">
        <v>689</v>
      </c>
      <c r="Q59" t="s">
        <v>690</v>
      </c>
      <c r="S59" t="s">
        <v>699</v>
      </c>
      <c r="T59" t="s">
        <v>728</v>
      </c>
    </row>
    <row r="60" spans="1:20" x14ac:dyDescent="0.2">
      <c r="A60" t="s">
        <v>613</v>
      </c>
      <c r="B60">
        <v>38</v>
      </c>
      <c r="C60" t="s">
        <v>36</v>
      </c>
      <c r="D60" t="s">
        <v>695</v>
      </c>
      <c r="E60" s="3">
        <v>12.3</v>
      </c>
      <c r="F60" s="3">
        <f>63-35</f>
        <v>28</v>
      </c>
      <c r="G60" s="3">
        <f t="shared" si="1"/>
        <v>20.700000000000003</v>
      </c>
      <c r="H60" s="4" t="s">
        <v>733</v>
      </c>
      <c r="I60" s="4" t="s">
        <v>734</v>
      </c>
      <c r="J60" s="4"/>
      <c r="K60" t="s">
        <v>667</v>
      </c>
      <c r="L60" t="s">
        <v>668</v>
      </c>
      <c r="N60" t="s">
        <v>687</v>
      </c>
      <c r="O60" t="s">
        <v>688</v>
      </c>
      <c r="P60" t="s">
        <v>688</v>
      </c>
      <c r="Q60" t="s">
        <v>690</v>
      </c>
      <c r="S60" t="s">
        <v>699</v>
      </c>
      <c r="T60" t="s">
        <v>704</v>
      </c>
    </row>
    <row r="61" spans="1:20" x14ac:dyDescent="0.2">
      <c r="A61" t="s">
        <v>613</v>
      </c>
      <c r="B61">
        <v>39</v>
      </c>
      <c r="C61" t="s">
        <v>71</v>
      </c>
      <c r="D61" t="s">
        <v>695</v>
      </c>
      <c r="E61" s="3">
        <v>9.5</v>
      </c>
      <c r="F61" s="3">
        <f>61.9-35.9</f>
        <v>26</v>
      </c>
      <c r="G61" s="3">
        <f t="shared" si="1"/>
        <v>17.899999999999999</v>
      </c>
      <c r="H61" t="s">
        <v>71</v>
      </c>
      <c r="I61" s="4" t="s">
        <v>730</v>
      </c>
      <c r="J61" s="4"/>
      <c r="K61" t="s">
        <v>667</v>
      </c>
      <c r="L61" t="s">
        <v>669</v>
      </c>
      <c r="N61" t="s">
        <v>688</v>
      </c>
      <c r="O61" t="s">
        <v>688</v>
      </c>
      <c r="P61" t="s">
        <v>687</v>
      </c>
      <c r="Q61" t="s">
        <v>690</v>
      </c>
      <c r="S61" t="s">
        <v>699</v>
      </c>
      <c r="T61" t="s">
        <v>704</v>
      </c>
    </row>
    <row r="62" spans="1:20" x14ac:dyDescent="0.2">
      <c r="A62" t="s">
        <v>613</v>
      </c>
      <c r="B62">
        <v>40</v>
      </c>
      <c r="C62" t="s">
        <v>72</v>
      </c>
      <c r="D62" t="s">
        <v>694</v>
      </c>
      <c r="E62" s="3">
        <v>-12.2</v>
      </c>
      <c r="F62" s="3">
        <f>45.2-52.9</f>
        <v>-7.6999999999999957</v>
      </c>
      <c r="G62" s="3">
        <f t="shared" si="1"/>
        <v>-3.7999999999999989</v>
      </c>
      <c r="I62" s="6" t="s">
        <v>758</v>
      </c>
      <c r="J62" t="s">
        <v>790</v>
      </c>
      <c r="K62" t="s">
        <v>667</v>
      </c>
      <c r="L62" t="s">
        <v>669</v>
      </c>
      <c r="N62" t="s">
        <v>689</v>
      </c>
      <c r="O62" t="s">
        <v>687</v>
      </c>
      <c r="P62" t="s">
        <v>688</v>
      </c>
      <c r="Q62" t="s">
        <v>687</v>
      </c>
      <c r="S62" t="s">
        <v>699</v>
      </c>
      <c r="T62" t="s">
        <v>791</v>
      </c>
    </row>
    <row r="63" spans="1:20" x14ac:dyDescent="0.2">
      <c r="A63" t="s">
        <v>613</v>
      </c>
      <c r="B63">
        <v>41</v>
      </c>
      <c r="C63" t="s">
        <v>73</v>
      </c>
      <c r="D63" t="s">
        <v>695</v>
      </c>
      <c r="E63" s="3">
        <v>14.1</v>
      </c>
      <c r="F63" s="3">
        <f>61.8-36</f>
        <v>25.799999999999997</v>
      </c>
      <c r="G63" s="3">
        <f t="shared" si="1"/>
        <v>22.5</v>
      </c>
      <c r="H63" t="s">
        <v>73</v>
      </c>
      <c r="I63" s="4" t="s">
        <v>759</v>
      </c>
      <c r="K63" t="s">
        <v>667</v>
      </c>
      <c r="L63" t="s">
        <v>668</v>
      </c>
      <c r="N63" t="s">
        <v>687</v>
      </c>
      <c r="O63" t="s">
        <v>688</v>
      </c>
      <c r="P63" t="s">
        <v>688</v>
      </c>
      <c r="Q63" t="s">
        <v>690</v>
      </c>
      <c r="S63" t="s">
        <v>699</v>
      </c>
      <c r="T63" t="s">
        <v>704</v>
      </c>
    </row>
    <row r="64" spans="1:20" x14ac:dyDescent="0.2">
      <c r="A64" t="s">
        <v>613</v>
      </c>
      <c r="B64">
        <v>42</v>
      </c>
      <c r="C64" t="s">
        <v>74</v>
      </c>
      <c r="D64" t="s">
        <v>695</v>
      </c>
      <c r="E64" s="3">
        <v>13.1</v>
      </c>
      <c r="F64" s="3">
        <f>58.7-39</f>
        <v>19.700000000000003</v>
      </c>
      <c r="G64" s="3">
        <f t="shared" si="1"/>
        <v>21.5</v>
      </c>
      <c r="H64" t="s">
        <v>74</v>
      </c>
      <c r="I64" s="4" t="s">
        <v>792</v>
      </c>
      <c r="K64" t="s">
        <v>667</v>
      </c>
      <c r="L64" t="s">
        <v>668</v>
      </c>
      <c r="N64" t="s">
        <v>689</v>
      </c>
      <c r="O64" t="s">
        <v>687</v>
      </c>
      <c r="P64" t="s">
        <v>688</v>
      </c>
      <c r="Q64" t="s">
        <v>687</v>
      </c>
      <c r="S64" t="s">
        <v>699</v>
      </c>
      <c r="T64" t="s">
        <v>704</v>
      </c>
    </row>
    <row r="65" spans="1:20" x14ac:dyDescent="0.2">
      <c r="A65" t="s">
        <v>613</v>
      </c>
      <c r="B65">
        <v>43</v>
      </c>
      <c r="C65" t="s">
        <v>75</v>
      </c>
      <c r="D65" t="s">
        <v>695</v>
      </c>
      <c r="E65" s="3">
        <v>48.9</v>
      </c>
      <c r="F65" s="3">
        <f>80.8-17</f>
        <v>63.8</v>
      </c>
      <c r="G65" s="3">
        <f t="shared" si="1"/>
        <v>57.3</v>
      </c>
      <c r="H65" t="s">
        <v>75</v>
      </c>
      <c r="I65" s="4" t="s">
        <v>809</v>
      </c>
      <c r="K65" t="s">
        <v>667</v>
      </c>
      <c r="L65" t="s">
        <v>668</v>
      </c>
      <c r="N65" t="s">
        <v>688</v>
      </c>
      <c r="O65" t="s">
        <v>688</v>
      </c>
      <c r="P65" t="s">
        <v>689</v>
      </c>
      <c r="Q65" t="s">
        <v>690</v>
      </c>
      <c r="S65" t="s">
        <v>699</v>
      </c>
      <c r="T65" t="s">
        <v>704</v>
      </c>
    </row>
    <row r="66" spans="1:20" x14ac:dyDescent="0.2">
      <c r="A66" t="s">
        <v>613</v>
      </c>
      <c r="B66">
        <v>44</v>
      </c>
      <c r="C66" t="s">
        <v>76</v>
      </c>
      <c r="D66" t="s">
        <v>695</v>
      </c>
      <c r="E66" s="3">
        <v>35.1</v>
      </c>
      <c r="F66" s="3">
        <f>75.4-22.3</f>
        <v>53.100000000000009</v>
      </c>
      <c r="G66" s="3">
        <f t="shared" ref="G66:G129" si="2">E66+6.9+1.5</f>
        <v>43.5</v>
      </c>
      <c r="H66" t="s">
        <v>76</v>
      </c>
      <c r="I66" s="4" t="s">
        <v>731</v>
      </c>
      <c r="J66" s="4"/>
      <c r="K66" t="s">
        <v>667</v>
      </c>
      <c r="L66" t="s">
        <v>668</v>
      </c>
      <c r="N66" t="s">
        <v>688</v>
      </c>
      <c r="O66" t="s">
        <v>688</v>
      </c>
      <c r="P66" t="s">
        <v>687</v>
      </c>
      <c r="Q66" t="s">
        <v>690</v>
      </c>
      <c r="S66" t="s">
        <v>699</v>
      </c>
      <c r="T66" t="s">
        <v>704</v>
      </c>
    </row>
    <row r="67" spans="1:20" x14ac:dyDescent="0.2">
      <c r="A67" t="s">
        <v>613</v>
      </c>
      <c r="B67">
        <v>45</v>
      </c>
      <c r="C67" t="s">
        <v>77</v>
      </c>
      <c r="D67" t="s">
        <v>695</v>
      </c>
      <c r="E67" s="3">
        <v>3.9</v>
      </c>
      <c r="F67" s="3">
        <f>54.1-44</f>
        <v>10.100000000000001</v>
      </c>
      <c r="G67" s="3">
        <f t="shared" si="2"/>
        <v>12.3</v>
      </c>
      <c r="H67" t="s">
        <v>77</v>
      </c>
      <c r="I67" s="4" t="s">
        <v>775</v>
      </c>
      <c r="K67" t="s">
        <v>667</v>
      </c>
      <c r="L67" t="s">
        <v>668</v>
      </c>
      <c r="N67" t="s">
        <v>687</v>
      </c>
      <c r="O67" t="s">
        <v>688</v>
      </c>
      <c r="P67" t="s">
        <v>688</v>
      </c>
      <c r="Q67" t="s">
        <v>689</v>
      </c>
      <c r="S67" t="s">
        <v>699</v>
      </c>
      <c r="T67" t="s">
        <v>704</v>
      </c>
    </row>
    <row r="68" spans="1:20" x14ac:dyDescent="0.2">
      <c r="A68" t="s">
        <v>613</v>
      </c>
      <c r="B68">
        <v>46</v>
      </c>
      <c r="C68" t="s">
        <v>78</v>
      </c>
      <c r="D68" t="s">
        <v>695</v>
      </c>
      <c r="E68" s="3">
        <v>16.100000000000001</v>
      </c>
      <c r="F68" s="3">
        <f>63-34.8</f>
        <v>28.200000000000003</v>
      </c>
      <c r="G68" s="3">
        <f t="shared" si="2"/>
        <v>24.5</v>
      </c>
      <c r="H68" t="s">
        <v>78</v>
      </c>
      <c r="I68" s="4" t="s">
        <v>760</v>
      </c>
      <c r="K68" t="s">
        <v>667</v>
      </c>
      <c r="L68" t="s">
        <v>668</v>
      </c>
      <c r="N68" t="s">
        <v>688</v>
      </c>
      <c r="O68" t="s">
        <v>688</v>
      </c>
      <c r="P68" t="s">
        <v>688</v>
      </c>
      <c r="Q68" t="s">
        <v>690</v>
      </c>
      <c r="S68" t="s">
        <v>699</v>
      </c>
      <c r="T68" t="s">
        <v>704</v>
      </c>
    </row>
    <row r="69" spans="1:20" x14ac:dyDescent="0.2">
      <c r="A69" t="s">
        <v>613</v>
      </c>
      <c r="B69">
        <v>47</v>
      </c>
      <c r="C69" t="s">
        <v>79</v>
      </c>
      <c r="D69" t="s">
        <v>695</v>
      </c>
      <c r="E69" s="3">
        <v>10</v>
      </c>
      <c r="F69" s="3">
        <f>57-40.9</f>
        <v>16.100000000000001</v>
      </c>
      <c r="G69" s="3">
        <f t="shared" si="2"/>
        <v>18.399999999999999</v>
      </c>
      <c r="H69" t="s">
        <v>79</v>
      </c>
      <c r="I69" s="4" t="s">
        <v>761</v>
      </c>
      <c r="K69" t="s">
        <v>667</v>
      </c>
      <c r="L69" t="s">
        <v>669</v>
      </c>
      <c r="N69" t="s">
        <v>690</v>
      </c>
      <c r="O69" t="s">
        <v>687</v>
      </c>
      <c r="P69" t="s">
        <v>688</v>
      </c>
      <c r="Q69" t="s">
        <v>687</v>
      </c>
      <c r="S69" t="s">
        <v>699</v>
      </c>
      <c r="T69" t="s">
        <v>704</v>
      </c>
    </row>
    <row r="70" spans="1:20" x14ac:dyDescent="0.2">
      <c r="A70" t="s">
        <v>613</v>
      </c>
      <c r="B70">
        <v>48</v>
      </c>
      <c r="C70" t="s">
        <v>80</v>
      </c>
      <c r="D70" t="s">
        <v>694</v>
      </c>
      <c r="E70" s="3">
        <v>3.4</v>
      </c>
      <c r="F70" s="3">
        <f>52.5-45.3</f>
        <v>7.2000000000000028</v>
      </c>
      <c r="G70" s="3">
        <f t="shared" si="2"/>
        <v>11.8</v>
      </c>
      <c r="H70" s="4" t="s">
        <v>762</v>
      </c>
      <c r="I70" s="4" t="s">
        <v>737</v>
      </c>
      <c r="J70" s="4"/>
      <c r="K70" t="s">
        <v>667</v>
      </c>
      <c r="L70" t="s">
        <v>672</v>
      </c>
      <c r="N70" t="s">
        <v>687</v>
      </c>
      <c r="O70" t="s">
        <v>687</v>
      </c>
      <c r="P70" t="s">
        <v>688</v>
      </c>
      <c r="Q70" t="s">
        <v>689</v>
      </c>
      <c r="S70" t="s">
        <v>699</v>
      </c>
      <c r="T70" t="s">
        <v>704</v>
      </c>
    </row>
    <row r="71" spans="1:20" x14ac:dyDescent="0.2">
      <c r="A71" t="s">
        <v>613</v>
      </c>
      <c r="B71">
        <v>49</v>
      </c>
      <c r="C71" t="s">
        <v>81</v>
      </c>
      <c r="D71" t="s">
        <v>695</v>
      </c>
      <c r="E71" s="3">
        <v>12.1</v>
      </c>
      <c r="F71" s="3">
        <f>56.5-41.3</f>
        <v>15.200000000000003</v>
      </c>
      <c r="G71" s="3">
        <f t="shared" si="2"/>
        <v>20.5</v>
      </c>
      <c r="H71" t="s">
        <v>81</v>
      </c>
      <c r="I71" s="4" t="s">
        <v>770</v>
      </c>
      <c r="K71" t="s">
        <v>667</v>
      </c>
      <c r="L71" t="s">
        <v>669</v>
      </c>
      <c r="N71" t="s">
        <v>690</v>
      </c>
      <c r="O71" t="s">
        <v>687</v>
      </c>
      <c r="P71" t="s">
        <v>688</v>
      </c>
      <c r="Q71" t="s">
        <v>687</v>
      </c>
      <c r="S71" t="s">
        <v>699</v>
      </c>
      <c r="T71" t="s">
        <v>704</v>
      </c>
    </row>
    <row r="72" spans="1:20" x14ac:dyDescent="0.2">
      <c r="A72" t="s">
        <v>613</v>
      </c>
      <c r="B72">
        <v>50</v>
      </c>
      <c r="C72" t="s">
        <v>82</v>
      </c>
      <c r="D72" t="s">
        <v>695</v>
      </c>
      <c r="E72" s="3">
        <v>18.2</v>
      </c>
      <c r="F72" s="3">
        <f>59.3-38.2</f>
        <v>21.099999999999994</v>
      </c>
      <c r="G72" s="3">
        <f t="shared" si="2"/>
        <v>26.6</v>
      </c>
      <c r="H72" t="s">
        <v>82</v>
      </c>
      <c r="I72" s="4" t="s">
        <v>482</v>
      </c>
      <c r="K72" t="s">
        <v>667</v>
      </c>
      <c r="L72" t="s">
        <v>672</v>
      </c>
      <c r="N72" t="s">
        <v>690</v>
      </c>
      <c r="O72" t="s">
        <v>687</v>
      </c>
      <c r="P72" t="s">
        <v>688</v>
      </c>
      <c r="Q72" t="s">
        <v>687</v>
      </c>
      <c r="S72" t="s">
        <v>699</v>
      </c>
      <c r="T72" t="s">
        <v>704</v>
      </c>
    </row>
    <row r="73" spans="1:20" x14ac:dyDescent="0.2">
      <c r="A73" t="s">
        <v>613</v>
      </c>
      <c r="B73">
        <v>51</v>
      </c>
      <c r="C73" t="s">
        <v>83</v>
      </c>
      <c r="D73" t="s">
        <v>695</v>
      </c>
      <c r="E73" s="3">
        <v>18.2</v>
      </c>
      <c r="F73" s="3">
        <f>60.3-37.4</f>
        <v>22.9</v>
      </c>
      <c r="G73" s="3">
        <f t="shared" si="2"/>
        <v>26.6</v>
      </c>
      <c r="H73" t="s">
        <v>83</v>
      </c>
      <c r="I73" s="4" t="s">
        <v>763</v>
      </c>
      <c r="K73" t="s">
        <v>667</v>
      </c>
      <c r="L73" t="s">
        <v>672</v>
      </c>
      <c r="N73" t="s">
        <v>689</v>
      </c>
      <c r="O73" t="s">
        <v>687</v>
      </c>
      <c r="P73" t="s">
        <v>688</v>
      </c>
      <c r="Q73" t="s">
        <v>687</v>
      </c>
      <c r="S73" t="s">
        <v>699</v>
      </c>
      <c r="T73" t="s">
        <v>704</v>
      </c>
    </row>
    <row r="74" spans="1:20" x14ac:dyDescent="0.2">
      <c r="A74" t="s">
        <v>613</v>
      </c>
      <c r="B74">
        <v>52</v>
      </c>
      <c r="C74" t="s">
        <v>84</v>
      </c>
      <c r="D74" t="s">
        <v>695</v>
      </c>
      <c r="E74" s="3">
        <v>17.5</v>
      </c>
      <c r="F74" s="3">
        <f>65.6-32.3</f>
        <v>33.299999999999997</v>
      </c>
      <c r="G74" s="3">
        <f t="shared" si="2"/>
        <v>25.9</v>
      </c>
      <c r="H74" t="s">
        <v>84</v>
      </c>
      <c r="I74" s="4" t="s">
        <v>764</v>
      </c>
      <c r="K74" t="s">
        <v>667</v>
      </c>
      <c r="L74" t="s">
        <v>672</v>
      </c>
      <c r="N74" t="s">
        <v>688</v>
      </c>
      <c r="O74" t="s">
        <v>688</v>
      </c>
      <c r="P74" t="s">
        <v>688</v>
      </c>
      <c r="Q74" t="s">
        <v>690</v>
      </c>
      <c r="S74" t="s">
        <v>699</v>
      </c>
      <c r="T74" t="s">
        <v>704</v>
      </c>
    </row>
    <row r="75" spans="1:20" x14ac:dyDescent="0.2">
      <c r="A75" t="s">
        <v>614</v>
      </c>
      <c r="B75">
        <v>1</v>
      </c>
      <c r="C75" t="s">
        <v>85</v>
      </c>
      <c r="D75" t="s">
        <v>695</v>
      </c>
      <c r="E75" s="3">
        <v>55.9</v>
      </c>
      <c r="F75" s="3">
        <f>79.5-18.2</f>
        <v>61.3</v>
      </c>
      <c r="G75" s="3">
        <f t="shared" si="2"/>
        <v>64.3</v>
      </c>
      <c r="H75" s="4" t="s">
        <v>883</v>
      </c>
      <c r="I75" s="4" t="s">
        <v>879</v>
      </c>
      <c r="K75" t="s">
        <v>666</v>
      </c>
      <c r="L75" t="s">
        <v>668</v>
      </c>
      <c r="N75" t="s">
        <v>690</v>
      </c>
      <c r="O75" t="s">
        <v>687</v>
      </c>
      <c r="P75" t="s">
        <v>688</v>
      </c>
      <c r="Q75" t="s">
        <v>687</v>
      </c>
      <c r="S75" t="s">
        <v>700</v>
      </c>
      <c r="T75" t="s">
        <v>704</v>
      </c>
    </row>
    <row r="76" spans="1:20" x14ac:dyDescent="0.2">
      <c r="A76" t="s">
        <v>614</v>
      </c>
      <c r="B76">
        <v>2</v>
      </c>
      <c r="C76" t="s">
        <v>86</v>
      </c>
      <c r="D76" t="s">
        <v>695</v>
      </c>
      <c r="E76" s="3">
        <v>39.799999999999997</v>
      </c>
      <c r="F76" s="3">
        <f>68.7-28.8</f>
        <v>39.900000000000006</v>
      </c>
      <c r="G76" s="3">
        <f t="shared" si="2"/>
        <v>48.199999999999996</v>
      </c>
      <c r="H76" t="s">
        <v>86</v>
      </c>
      <c r="K76" t="s">
        <v>666</v>
      </c>
      <c r="L76" t="s">
        <v>669</v>
      </c>
      <c r="N76" t="s">
        <v>690</v>
      </c>
      <c r="O76" t="s">
        <v>690</v>
      </c>
      <c r="P76" t="s">
        <v>688</v>
      </c>
      <c r="Q76" t="s">
        <v>688</v>
      </c>
      <c r="S76" t="s">
        <v>700</v>
      </c>
      <c r="T76" t="s">
        <v>704</v>
      </c>
    </row>
    <row r="77" spans="1:20" x14ac:dyDescent="0.2">
      <c r="A77" t="s">
        <v>614</v>
      </c>
      <c r="B77">
        <v>3</v>
      </c>
      <c r="C77" t="s">
        <v>87</v>
      </c>
      <c r="D77" t="s">
        <v>694</v>
      </c>
      <c r="E77" s="3">
        <v>-9.6999999999999993</v>
      </c>
      <c r="F77" s="3">
        <f>44.7-52.9</f>
        <v>-8.1999999999999957</v>
      </c>
      <c r="G77" s="3">
        <f t="shared" si="2"/>
        <v>-1.2999999999999989</v>
      </c>
      <c r="H77" s="4" t="s">
        <v>884</v>
      </c>
      <c r="I77" s="6" t="s">
        <v>87</v>
      </c>
      <c r="K77" t="s">
        <v>666</v>
      </c>
      <c r="L77" t="s">
        <v>671</v>
      </c>
      <c r="N77" t="s">
        <v>687</v>
      </c>
      <c r="O77" t="s">
        <v>689</v>
      </c>
      <c r="P77" t="s">
        <v>688</v>
      </c>
      <c r="Q77" t="s">
        <v>687</v>
      </c>
      <c r="S77" t="s">
        <v>700</v>
      </c>
      <c r="T77" t="s">
        <v>704</v>
      </c>
    </row>
    <row r="78" spans="1:20" x14ac:dyDescent="0.2">
      <c r="A78" t="s">
        <v>614</v>
      </c>
      <c r="B78">
        <v>4</v>
      </c>
      <c r="C78" t="s">
        <v>88</v>
      </c>
      <c r="D78" t="s">
        <v>694</v>
      </c>
      <c r="E78" s="3">
        <v>-18.3</v>
      </c>
      <c r="F78" s="3">
        <f>39.5-58</f>
        <v>-18.5</v>
      </c>
      <c r="G78" s="3">
        <f t="shared" si="2"/>
        <v>-9.9</v>
      </c>
      <c r="H78" s="4" t="s">
        <v>880</v>
      </c>
      <c r="I78" s="6" t="s">
        <v>88</v>
      </c>
      <c r="K78" t="s">
        <v>679</v>
      </c>
      <c r="L78" t="s">
        <v>671</v>
      </c>
      <c r="N78" t="s">
        <v>689</v>
      </c>
      <c r="O78" t="s">
        <v>690</v>
      </c>
      <c r="P78" t="s">
        <v>688</v>
      </c>
      <c r="Q78" t="s">
        <v>688</v>
      </c>
      <c r="S78" t="s">
        <v>700</v>
      </c>
      <c r="T78" t="s">
        <v>704</v>
      </c>
    </row>
    <row r="79" spans="1:20" x14ac:dyDescent="0.2">
      <c r="A79" t="s">
        <v>614</v>
      </c>
      <c r="B79">
        <v>5</v>
      </c>
      <c r="C79" t="s">
        <v>89</v>
      </c>
      <c r="D79" t="s">
        <v>694</v>
      </c>
      <c r="E79" s="3">
        <v>-9.1</v>
      </c>
      <c r="F79" s="3">
        <f>43.1-53.2</f>
        <v>-10.100000000000001</v>
      </c>
      <c r="G79" s="3">
        <f t="shared" si="2"/>
        <v>-0.69999999999999929</v>
      </c>
      <c r="H79" s="4" t="s">
        <v>885</v>
      </c>
      <c r="I79" s="6" t="s">
        <v>89</v>
      </c>
      <c r="K79" t="s">
        <v>666</v>
      </c>
      <c r="L79" t="s">
        <v>671</v>
      </c>
      <c r="N79" t="s">
        <v>689</v>
      </c>
      <c r="O79" t="s">
        <v>689</v>
      </c>
      <c r="P79" t="s">
        <v>688</v>
      </c>
      <c r="Q79" t="s">
        <v>687</v>
      </c>
      <c r="S79" t="s">
        <v>700</v>
      </c>
      <c r="T79" t="s">
        <v>704</v>
      </c>
    </row>
    <row r="80" spans="1:20" x14ac:dyDescent="0.2">
      <c r="A80" t="s">
        <v>614</v>
      </c>
      <c r="B80">
        <v>6</v>
      </c>
      <c r="C80" t="s">
        <v>90</v>
      </c>
      <c r="D80" t="s">
        <v>695</v>
      </c>
      <c r="E80" s="3">
        <v>19.8</v>
      </c>
      <c r="F80" s="3">
        <f>60.6-36.8</f>
        <v>23.800000000000004</v>
      </c>
      <c r="G80" s="3">
        <f t="shared" si="2"/>
        <v>28.200000000000003</v>
      </c>
      <c r="H80" t="s">
        <v>90</v>
      </c>
      <c r="K80" t="s">
        <v>666</v>
      </c>
      <c r="L80" t="s">
        <v>669</v>
      </c>
      <c r="N80" t="s">
        <v>689</v>
      </c>
      <c r="O80" t="s">
        <v>687</v>
      </c>
      <c r="P80" t="s">
        <v>687</v>
      </c>
      <c r="Q80" t="s">
        <v>687</v>
      </c>
      <c r="S80" t="s">
        <v>700</v>
      </c>
      <c r="T80" t="s">
        <v>704</v>
      </c>
    </row>
    <row r="81" spans="1:20" x14ac:dyDescent="0.2">
      <c r="A81" t="s">
        <v>614</v>
      </c>
      <c r="B81">
        <v>7</v>
      </c>
      <c r="C81" t="s">
        <v>91</v>
      </c>
      <c r="D81" t="s">
        <v>695</v>
      </c>
      <c r="E81" s="3">
        <v>15</v>
      </c>
      <c r="F81" s="3">
        <f>55.7-41.5</f>
        <v>14.200000000000003</v>
      </c>
      <c r="G81" s="3">
        <f t="shared" si="2"/>
        <v>23.4</v>
      </c>
      <c r="H81" t="s">
        <v>91</v>
      </c>
      <c r="I81" s="4" t="s">
        <v>881</v>
      </c>
      <c r="K81" t="s">
        <v>666</v>
      </c>
      <c r="L81" t="s">
        <v>669</v>
      </c>
      <c r="N81" t="s">
        <v>687</v>
      </c>
      <c r="O81" t="s">
        <v>690</v>
      </c>
      <c r="P81" t="s">
        <v>688</v>
      </c>
      <c r="Q81" t="s">
        <v>688</v>
      </c>
      <c r="S81" t="s">
        <v>700</v>
      </c>
      <c r="T81" t="s">
        <v>704</v>
      </c>
    </row>
    <row r="82" spans="1:20" x14ac:dyDescent="0.2">
      <c r="A82" t="s">
        <v>614</v>
      </c>
      <c r="B82">
        <v>8</v>
      </c>
      <c r="C82" t="s">
        <v>92</v>
      </c>
      <c r="D82" t="s">
        <v>694</v>
      </c>
      <c r="E82" s="3">
        <v>-1.8</v>
      </c>
      <c r="F82" s="3">
        <f>50.8-46.3</f>
        <v>4.5</v>
      </c>
      <c r="G82" s="3">
        <f t="shared" si="2"/>
        <v>6.6000000000000005</v>
      </c>
      <c r="H82" s="4" t="s">
        <v>882</v>
      </c>
      <c r="I82" t="s">
        <v>92</v>
      </c>
      <c r="K82" t="s">
        <v>666</v>
      </c>
      <c r="L82" t="s">
        <v>669</v>
      </c>
      <c r="N82" t="s">
        <v>687</v>
      </c>
      <c r="O82" t="s">
        <v>687</v>
      </c>
      <c r="P82" t="s">
        <v>688</v>
      </c>
      <c r="Q82" t="s">
        <v>689</v>
      </c>
      <c r="S82" t="s">
        <v>700</v>
      </c>
      <c r="T82" t="s">
        <v>704</v>
      </c>
    </row>
    <row r="83" spans="1:20" x14ac:dyDescent="0.2">
      <c r="A83" t="s">
        <v>615</v>
      </c>
      <c r="B83">
        <v>1</v>
      </c>
      <c r="C83" t="s">
        <v>93</v>
      </c>
      <c r="D83" t="s">
        <v>695</v>
      </c>
      <c r="E83" s="3">
        <v>22.9</v>
      </c>
      <c r="F83" s="3">
        <f>63.3-35.2</f>
        <v>28.099999999999994</v>
      </c>
      <c r="G83" s="3">
        <f t="shared" si="2"/>
        <v>31.299999999999997</v>
      </c>
      <c r="K83" t="s">
        <v>663</v>
      </c>
      <c r="L83" t="s">
        <v>669</v>
      </c>
      <c r="N83" t="s">
        <v>689</v>
      </c>
      <c r="O83" t="s">
        <v>687</v>
      </c>
      <c r="P83" t="s">
        <v>687</v>
      </c>
      <c r="Q83" t="s">
        <v>687</v>
      </c>
      <c r="S83" t="s">
        <v>700</v>
      </c>
      <c r="T83" t="s">
        <v>703</v>
      </c>
    </row>
    <row r="84" spans="1:20" x14ac:dyDescent="0.2">
      <c r="A84" t="s">
        <v>615</v>
      </c>
      <c r="B84">
        <v>2</v>
      </c>
      <c r="C84" t="s">
        <v>94</v>
      </c>
      <c r="D84" t="s">
        <v>695</v>
      </c>
      <c r="E84" s="3">
        <v>7.7</v>
      </c>
      <c r="F84" s="3">
        <f>54.7-43.2</f>
        <v>11.5</v>
      </c>
      <c r="G84" s="3">
        <f t="shared" si="2"/>
        <v>16.100000000000001</v>
      </c>
      <c r="K84" t="s">
        <v>663</v>
      </c>
      <c r="L84" t="s">
        <v>669</v>
      </c>
      <c r="N84" t="s">
        <v>689</v>
      </c>
      <c r="O84" t="s">
        <v>690</v>
      </c>
      <c r="P84" t="s">
        <v>688</v>
      </c>
      <c r="Q84" t="s">
        <v>688</v>
      </c>
      <c r="S84" t="s">
        <v>700</v>
      </c>
      <c r="T84" t="s">
        <v>703</v>
      </c>
    </row>
    <row r="85" spans="1:20" x14ac:dyDescent="0.2">
      <c r="A85" t="s">
        <v>615</v>
      </c>
      <c r="B85">
        <v>3</v>
      </c>
      <c r="C85" t="s">
        <v>95</v>
      </c>
      <c r="D85" t="s">
        <v>695</v>
      </c>
      <c r="E85" s="3">
        <v>14.1</v>
      </c>
      <c r="F85" s="3">
        <f>59.2-39.5</f>
        <v>19.700000000000003</v>
      </c>
      <c r="G85" s="3">
        <f t="shared" si="2"/>
        <v>22.5</v>
      </c>
      <c r="K85" t="s">
        <v>663</v>
      </c>
      <c r="L85" t="s">
        <v>669</v>
      </c>
      <c r="N85" t="s">
        <v>689</v>
      </c>
      <c r="O85" t="s">
        <v>689</v>
      </c>
      <c r="P85" t="s">
        <v>687</v>
      </c>
      <c r="Q85" t="s">
        <v>688</v>
      </c>
      <c r="S85" t="s">
        <v>700</v>
      </c>
      <c r="T85" t="s">
        <v>703</v>
      </c>
    </row>
    <row r="86" spans="1:20" x14ac:dyDescent="0.2">
      <c r="A86" t="s">
        <v>615</v>
      </c>
      <c r="B86">
        <v>4</v>
      </c>
      <c r="C86" t="s">
        <v>96</v>
      </c>
      <c r="D86" t="s">
        <v>695</v>
      </c>
      <c r="E86" s="3">
        <v>23.4</v>
      </c>
      <c r="F86" s="3">
        <f>64.9-33.7</f>
        <v>31.200000000000003</v>
      </c>
      <c r="G86" s="3">
        <f t="shared" si="2"/>
        <v>31.799999999999997</v>
      </c>
      <c r="K86" t="s">
        <v>663</v>
      </c>
      <c r="L86" t="s">
        <v>669</v>
      </c>
      <c r="N86" t="s">
        <v>690</v>
      </c>
      <c r="O86" t="s">
        <v>687</v>
      </c>
      <c r="P86" t="s">
        <v>687</v>
      </c>
      <c r="Q86" t="s">
        <v>687</v>
      </c>
      <c r="S86" t="s">
        <v>700</v>
      </c>
      <c r="T86" t="s">
        <v>703</v>
      </c>
    </row>
    <row r="87" spans="1:20" x14ac:dyDescent="0.2">
      <c r="A87" t="s">
        <v>615</v>
      </c>
      <c r="B87">
        <v>5</v>
      </c>
      <c r="C87" t="s">
        <v>97</v>
      </c>
      <c r="D87" t="s">
        <v>695</v>
      </c>
      <c r="E87" s="3">
        <v>5.6</v>
      </c>
      <c r="F87" s="3">
        <f>54.6-43.9</f>
        <v>10.700000000000003</v>
      </c>
      <c r="G87" s="3">
        <f t="shared" si="2"/>
        <v>14</v>
      </c>
      <c r="K87" t="s">
        <v>663</v>
      </c>
      <c r="L87" t="s">
        <v>669</v>
      </c>
      <c r="N87" t="s">
        <v>689</v>
      </c>
      <c r="O87" t="s">
        <v>689</v>
      </c>
      <c r="P87" t="s">
        <v>688</v>
      </c>
      <c r="Q87" t="s">
        <v>687</v>
      </c>
      <c r="S87" t="s">
        <v>700</v>
      </c>
      <c r="T87" t="s">
        <v>703</v>
      </c>
    </row>
    <row r="88" spans="1:20" x14ac:dyDescent="0.2">
      <c r="A88" t="s">
        <v>616</v>
      </c>
      <c r="B88" s="5" t="s">
        <v>17</v>
      </c>
      <c r="C88" t="s">
        <v>98</v>
      </c>
      <c r="D88" t="s">
        <v>695</v>
      </c>
      <c r="E88" s="3">
        <v>14.7</v>
      </c>
      <c r="F88" s="3">
        <f>56.5-41.8</f>
        <v>14.700000000000003</v>
      </c>
      <c r="G88" s="3">
        <f t="shared" si="2"/>
        <v>23.1</v>
      </c>
      <c r="K88" t="s">
        <v>676</v>
      </c>
      <c r="L88" t="s">
        <v>672</v>
      </c>
      <c r="N88" t="s">
        <v>689</v>
      </c>
      <c r="O88" t="s">
        <v>689</v>
      </c>
      <c r="P88" t="s">
        <v>687</v>
      </c>
      <c r="Q88" t="s">
        <v>688</v>
      </c>
      <c r="S88" t="s">
        <v>700</v>
      </c>
      <c r="T88" t="s">
        <v>703</v>
      </c>
    </row>
    <row r="89" spans="1:20" x14ac:dyDescent="0.2">
      <c r="A89" t="s">
        <v>617</v>
      </c>
      <c r="B89">
        <v>1</v>
      </c>
      <c r="C89" t="s">
        <v>99</v>
      </c>
      <c r="D89" t="s">
        <v>694</v>
      </c>
      <c r="E89" s="3">
        <f>30.8-67.7</f>
        <v>-36.900000000000006</v>
      </c>
      <c r="F89" s="3">
        <f>32.9-65.1</f>
        <v>-32.199999999999996</v>
      </c>
      <c r="G89" s="3">
        <f t="shared" si="2"/>
        <v>-28.500000000000007</v>
      </c>
      <c r="K89" t="s">
        <v>674</v>
      </c>
      <c r="L89" t="s">
        <v>671</v>
      </c>
      <c r="N89" t="s">
        <v>687</v>
      </c>
      <c r="O89" t="s">
        <v>689</v>
      </c>
      <c r="P89" t="s">
        <v>687</v>
      </c>
      <c r="Q89" t="s">
        <v>688</v>
      </c>
      <c r="S89" t="s">
        <v>700</v>
      </c>
      <c r="T89" t="s">
        <v>703</v>
      </c>
    </row>
    <row r="90" spans="1:20" x14ac:dyDescent="0.2">
      <c r="A90" t="s">
        <v>617</v>
      </c>
      <c r="B90">
        <v>2</v>
      </c>
      <c r="C90" t="s">
        <v>100</v>
      </c>
      <c r="D90" t="s">
        <v>694</v>
      </c>
      <c r="E90" s="3">
        <f>40.3-58.3</f>
        <v>-18</v>
      </c>
      <c r="F90" s="3">
        <f>43.9-54.8</f>
        <v>-10.899999999999999</v>
      </c>
      <c r="G90" s="3">
        <f t="shared" si="2"/>
        <v>-9.6</v>
      </c>
      <c r="K90" t="s">
        <v>674</v>
      </c>
      <c r="L90" t="s">
        <v>671</v>
      </c>
      <c r="N90" t="s">
        <v>687</v>
      </c>
      <c r="O90" t="s">
        <v>689</v>
      </c>
      <c r="P90" t="s">
        <v>687</v>
      </c>
      <c r="Q90" t="s">
        <v>688</v>
      </c>
      <c r="S90" t="s">
        <v>700</v>
      </c>
      <c r="T90" t="s">
        <v>703</v>
      </c>
    </row>
    <row r="91" spans="1:20" x14ac:dyDescent="0.2">
      <c r="A91" t="s">
        <v>617</v>
      </c>
      <c r="B91">
        <v>3</v>
      </c>
      <c r="C91" t="s">
        <v>101</v>
      </c>
      <c r="D91" t="s">
        <v>694</v>
      </c>
      <c r="E91" s="3">
        <f>38.9-59.8</f>
        <v>-20.9</v>
      </c>
      <c r="F91" s="3">
        <f>42.4-56.4</f>
        <v>-14</v>
      </c>
      <c r="G91" s="3">
        <f t="shared" si="2"/>
        <v>-12.499999999999998</v>
      </c>
      <c r="K91" t="s">
        <v>677</v>
      </c>
      <c r="L91" t="s">
        <v>671</v>
      </c>
      <c r="N91" t="s">
        <v>687</v>
      </c>
      <c r="O91" t="s">
        <v>689</v>
      </c>
      <c r="P91" t="s">
        <v>687</v>
      </c>
      <c r="Q91" t="s">
        <v>687</v>
      </c>
      <c r="S91" t="s">
        <v>700</v>
      </c>
      <c r="T91" t="s">
        <v>703</v>
      </c>
    </row>
    <row r="92" spans="1:20" x14ac:dyDescent="0.2">
      <c r="A92" t="s">
        <v>617</v>
      </c>
      <c r="B92">
        <v>4</v>
      </c>
      <c r="C92" t="s">
        <v>102</v>
      </c>
      <c r="D92" t="s">
        <v>694</v>
      </c>
      <c r="E92" s="3">
        <f>43.4-55.2</f>
        <v>-11.800000000000004</v>
      </c>
      <c r="F92" s="3">
        <f>45.9-52.6</f>
        <v>-6.7000000000000028</v>
      </c>
      <c r="G92" s="3">
        <f t="shared" si="2"/>
        <v>-3.4000000000000039</v>
      </c>
      <c r="K92" t="s">
        <v>677</v>
      </c>
      <c r="L92" t="s">
        <v>671</v>
      </c>
      <c r="N92" t="s">
        <v>688</v>
      </c>
      <c r="O92" t="s">
        <v>687</v>
      </c>
      <c r="P92" t="s">
        <v>689</v>
      </c>
      <c r="Q92" t="s">
        <v>688</v>
      </c>
      <c r="S92" t="s">
        <v>700</v>
      </c>
      <c r="T92" t="s">
        <v>703</v>
      </c>
    </row>
    <row r="93" spans="1:20" x14ac:dyDescent="0.2">
      <c r="A93" t="s">
        <v>617</v>
      </c>
      <c r="B93">
        <v>5</v>
      </c>
      <c r="C93" t="s">
        <v>103</v>
      </c>
      <c r="D93" t="s">
        <v>694</v>
      </c>
      <c r="E93" s="3">
        <f>38.5-59.9</f>
        <v>-21.4</v>
      </c>
      <c r="F93" s="3">
        <f>41.4-57.1</f>
        <v>-15.700000000000003</v>
      </c>
      <c r="G93" s="3">
        <f t="shared" si="2"/>
        <v>-12.999999999999998</v>
      </c>
      <c r="K93" t="s">
        <v>677</v>
      </c>
      <c r="L93" t="s">
        <v>672</v>
      </c>
      <c r="N93" t="s">
        <v>687</v>
      </c>
      <c r="O93" t="s">
        <v>689</v>
      </c>
      <c r="P93" t="s">
        <v>687</v>
      </c>
      <c r="Q93" t="s">
        <v>688</v>
      </c>
      <c r="S93" t="s">
        <v>700</v>
      </c>
      <c r="T93" t="s">
        <v>703</v>
      </c>
    </row>
    <row r="94" spans="1:20" x14ac:dyDescent="0.2">
      <c r="A94" t="s">
        <v>617</v>
      </c>
      <c r="B94">
        <v>6</v>
      </c>
      <c r="C94" t="s">
        <v>104</v>
      </c>
      <c r="D94" t="s">
        <v>694</v>
      </c>
      <c r="E94" s="3">
        <f>34.5-64.5</f>
        <v>-30</v>
      </c>
      <c r="F94" s="3">
        <f>37.7-61.3</f>
        <v>-23.599999999999994</v>
      </c>
      <c r="G94" s="3">
        <f t="shared" si="2"/>
        <v>-21.6</v>
      </c>
      <c r="K94" t="s">
        <v>677</v>
      </c>
      <c r="L94" t="s">
        <v>672</v>
      </c>
      <c r="N94" t="s">
        <v>688</v>
      </c>
      <c r="O94" t="s">
        <v>689</v>
      </c>
      <c r="P94" t="s">
        <v>687</v>
      </c>
      <c r="Q94" t="s">
        <v>688</v>
      </c>
      <c r="S94" t="s">
        <v>700</v>
      </c>
      <c r="T94" t="s">
        <v>703</v>
      </c>
    </row>
    <row r="95" spans="1:20" x14ac:dyDescent="0.2">
      <c r="A95" t="s">
        <v>617</v>
      </c>
      <c r="B95">
        <v>7</v>
      </c>
      <c r="C95" t="s">
        <v>105</v>
      </c>
      <c r="D95" t="s">
        <v>694</v>
      </c>
      <c r="E95" s="3">
        <f>43-55.4</f>
        <v>-12.399999999999999</v>
      </c>
      <c r="F95" s="3">
        <f>46.6-52.1</f>
        <v>-5.5</v>
      </c>
      <c r="G95" s="3">
        <f t="shared" si="2"/>
        <v>-3.9999999999999982</v>
      </c>
      <c r="K95" t="s">
        <v>677</v>
      </c>
      <c r="L95" t="s">
        <v>672</v>
      </c>
      <c r="N95" t="s">
        <v>687</v>
      </c>
      <c r="O95" t="s">
        <v>689</v>
      </c>
      <c r="P95" t="s">
        <v>687</v>
      </c>
      <c r="Q95" t="s">
        <v>687</v>
      </c>
      <c r="S95" t="s">
        <v>700</v>
      </c>
      <c r="T95" t="s">
        <v>703</v>
      </c>
    </row>
    <row r="96" spans="1:20" x14ac:dyDescent="0.2">
      <c r="A96" t="s">
        <v>617</v>
      </c>
      <c r="B96">
        <v>8</v>
      </c>
      <c r="C96" t="s">
        <v>106</v>
      </c>
      <c r="D96" t="s">
        <v>694</v>
      </c>
      <c r="E96" s="3">
        <f>41.2-57.3</f>
        <v>-16.099999999999994</v>
      </c>
      <c r="F96" s="3">
        <f>43.9-54.6</f>
        <v>-10.700000000000003</v>
      </c>
      <c r="G96" s="3">
        <f t="shared" si="2"/>
        <v>-7.699999999999994</v>
      </c>
      <c r="K96" t="s">
        <v>677</v>
      </c>
      <c r="L96" t="s">
        <v>672</v>
      </c>
      <c r="N96" t="s">
        <v>687</v>
      </c>
      <c r="O96" t="s">
        <v>689</v>
      </c>
      <c r="P96" t="s">
        <v>687</v>
      </c>
      <c r="Q96" t="s">
        <v>688</v>
      </c>
      <c r="S96" t="s">
        <v>700</v>
      </c>
      <c r="T96" t="s">
        <v>703</v>
      </c>
    </row>
    <row r="97" spans="1:20" x14ac:dyDescent="0.2">
      <c r="A97" t="s">
        <v>617</v>
      </c>
      <c r="B97">
        <v>9</v>
      </c>
      <c r="C97" t="s">
        <v>107</v>
      </c>
      <c r="D97" t="s">
        <v>695</v>
      </c>
      <c r="E97" s="3">
        <f>40.5-58.2</f>
        <v>-17.700000000000003</v>
      </c>
      <c r="F97" s="3">
        <f>46.1-52.9</f>
        <v>-6.7999999999999972</v>
      </c>
      <c r="G97" s="3">
        <f t="shared" si="2"/>
        <v>-9.3000000000000025</v>
      </c>
      <c r="K97" t="s">
        <v>677</v>
      </c>
      <c r="L97" t="s">
        <v>672</v>
      </c>
      <c r="N97" t="s">
        <v>687</v>
      </c>
      <c r="O97" t="s">
        <v>687</v>
      </c>
      <c r="P97" t="s">
        <v>687</v>
      </c>
      <c r="Q97" t="s">
        <v>689</v>
      </c>
      <c r="S97" t="s">
        <v>700</v>
      </c>
      <c r="T97" t="s">
        <v>703</v>
      </c>
    </row>
    <row r="98" spans="1:20" x14ac:dyDescent="0.2">
      <c r="A98" t="s">
        <v>617</v>
      </c>
      <c r="B98">
        <v>10</v>
      </c>
      <c r="C98" t="s">
        <v>108</v>
      </c>
      <c r="D98" t="s">
        <v>695</v>
      </c>
      <c r="E98" s="3">
        <f>61.1-37.2</f>
        <v>23.9</v>
      </c>
      <c r="F98" s="3">
        <f>65.8-32.9</f>
        <v>32.9</v>
      </c>
      <c r="G98" s="3">
        <f t="shared" si="2"/>
        <v>32.299999999999997</v>
      </c>
      <c r="K98" t="s">
        <v>677</v>
      </c>
      <c r="L98" t="s">
        <v>668</v>
      </c>
      <c r="N98" t="s">
        <v>687</v>
      </c>
      <c r="O98" t="s">
        <v>688</v>
      </c>
      <c r="P98" t="s">
        <v>689</v>
      </c>
      <c r="Q98" t="s">
        <v>689</v>
      </c>
      <c r="S98" t="s">
        <v>700</v>
      </c>
      <c r="T98" t="s">
        <v>703</v>
      </c>
    </row>
    <row r="99" spans="1:20" x14ac:dyDescent="0.2">
      <c r="A99" t="s">
        <v>617</v>
      </c>
      <c r="B99">
        <v>11</v>
      </c>
      <c r="C99" t="s">
        <v>109</v>
      </c>
      <c r="D99" t="s">
        <v>694</v>
      </c>
      <c r="E99" s="3">
        <f>41.5-57.2</f>
        <v>-15.700000000000003</v>
      </c>
      <c r="F99" s="3">
        <f>44.7-54.3</f>
        <v>-9.5999999999999943</v>
      </c>
      <c r="G99" s="3">
        <f t="shared" si="2"/>
        <v>-7.3000000000000025</v>
      </c>
      <c r="K99" t="s">
        <v>677</v>
      </c>
      <c r="L99" t="s">
        <v>672</v>
      </c>
      <c r="N99" t="s">
        <v>689</v>
      </c>
      <c r="O99" t="s">
        <v>689</v>
      </c>
      <c r="P99" t="s">
        <v>687</v>
      </c>
      <c r="Q99" t="s">
        <v>687</v>
      </c>
      <c r="S99" t="s">
        <v>700</v>
      </c>
      <c r="T99" t="s">
        <v>703</v>
      </c>
    </row>
    <row r="100" spans="1:20" x14ac:dyDescent="0.2">
      <c r="A100" t="s">
        <v>617</v>
      </c>
      <c r="B100">
        <v>12</v>
      </c>
      <c r="C100" t="s">
        <v>110</v>
      </c>
      <c r="D100" t="s">
        <v>694</v>
      </c>
      <c r="E100" s="3">
        <f>41.6-56.9</f>
        <v>-15.299999999999997</v>
      </c>
      <c r="F100" s="3">
        <f>46.4-52.2</f>
        <v>-5.8000000000000043</v>
      </c>
      <c r="G100" s="3">
        <f t="shared" si="2"/>
        <v>-6.8999999999999968</v>
      </c>
      <c r="K100" t="s">
        <v>677</v>
      </c>
      <c r="L100" t="s">
        <v>672</v>
      </c>
      <c r="N100" t="s">
        <v>687</v>
      </c>
      <c r="O100" t="s">
        <v>687</v>
      </c>
      <c r="P100" t="s">
        <v>687</v>
      </c>
      <c r="Q100" t="s">
        <v>687</v>
      </c>
      <c r="S100" t="s">
        <v>700</v>
      </c>
      <c r="T100" t="s">
        <v>703</v>
      </c>
    </row>
    <row r="101" spans="1:20" x14ac:dyDescent="0.2">
      <c r="A101" t="s">
        <v>617</v>
      </c>
      <c r="B101">
        <v>13</v>
      </c>
      <c r="C101" t="s">
        <v>111</v>
      </c>
      <c r="D101" t="s">
        <v>694</v>
      </c>
      <c r="E101" s="3">
        <f>42.1-55.9</f>
        <v>-13.799999999999997</v>
      </c>
      <c r="F101" s="3">
        <f>45.4-53.2</f>
        <v>-7.8000000000000043</v>
      </c>
      <c r="G101" s="3">
        <f t="shared" si="2"/>
        <v>-5.3999999999999968</v>
      </c>
      <c r="K101" t="s">
        <v>677</v>
      </c>
      <c r="L101" t="s">
        <v>672</v>
      </c>
      <c r="N101" t="s">
        <v>687</v>
      </c>
      <c r="O101" t="s">
        <v>690</v>
      </c>
      <c r="P101" t="s">
        <v>688</v>
      </c>
      <c r="Q101" t="s">
        <v>688</v>
      </c>
      <c r="S101" t="s">
        <v>700</v>
      </c>
      <c r="T101" t="s">
        <v>703</v>
      </c>
    </row>
    <row r="102" spans="1:20" x14ac:dyDescent="0.2">
      <c r="A102" t="s">
        <v>617</v>
      </c>
      <c r="B102">
        <v>14</v>
      </c>
      <c r="C102" t="s">
        <v>112</v>
      </c>
      <c r="D102" t="s">
        <v>695</v>
      </c>
      <c r="E102" s="3">
        <f>44-54.5</f>
        <v>-10.5</v>
      </c>
      <c r="F102" s="3">
        <f>47.9-50.7</f>
        <v>-2.8000000000000043</v>
      </c>
      <c r="G102" s="3">
        <f t="shared" si="2"/>
        <v>-2.0999999999999996</v>
      </c>
      <c r="K102" t="s">
        <v>677</v>
      </c>
      <c r="L102" t="s">
        <v>672</v>
      </c>
      <c r="N102" t="s">
        <v>687</v>
      </c>
      <c r="O102" t="s">
        <v>687</v>
      </c>
      <c r="P102" t="s">
        <v>687</v>
      </c>
      <c r="Q102" t="s">
        <v>687</v>
      </c>
      <c r="S102" t="s">
        <v>700</v>
      </c>
      <c r="T102" t="s">
        <v>703</v>
      </c>
    </row>
    <row r="103" spans="1:20" x14ac:dyDescent="0.2">
      <c r="A103" t="s">
        <v>617</v>
      </c>
      <c r="B103">
        <v>15</v>
      </c>
      <c r="C103" t="s">
        <v>113</v>
      </c>
      <c r="D103" t="s">
        <v>694</v>
      </c>
      <c r="E103" s="3">
        <f>39.3-59.1</f>
        <v>-19.800000000000004</v>
      </c>
      <c r="F103" s="3">
        <f>44.1-54.7</f>
        <v>-10.600000000000001</v>
      </c>
      <c r="G103" s="3">
        <f t="shared" si="2"/>
        <v>-11.400000000000004</v>
      </c>
      <c r="K103" t="s">
        <v>677</v>
      </c>
      <c r="L103" t="s">
        <v>672</v>
      </c>
      <c r="N103" t="s">
        <v>687</v>
      </c>
      <c r="O103" t="s">
        <v>689</v>
      </c>
      <c r="P103" t="s">
        <v>687</v>
      </c>
      <c r="Q103" t="s">
        <v>688</v>
      </c>
      <c r="S103" t="s">
        <v>700</v>
      </c>
      <c r="T103" t="s">
        <v>703</v>
      </c>
    </row>
    <row r="104" spans="1:20" x14ac:dyDescent="0.2">
      <c r="A104" t="s">
        <v>617</v>
      </c>
      <c r="B104">
        <v>16</v>
      </c>
      <c r="C104" t="s">
        <v>114</v>
      </c>
      <c r="D104" t="s">
        <v>694</v>
      </c>
      <c r="E104" s="3">
        <f>42.6-56.2</f>
        <v>-13.600000000000001</v>
      </c>
      <c r="F104" s="3">
        <f>46.7-52.22</f>
        <v>-5.519999999999996</v>
      </c>
      <c r="G104" s="3">
        <f t="shared" si="2"/>
        <v>-5.2000000000000011</v>
      </c>
      <c r="K104" t="s">
        <v>677</v>
      </c>
      <c r="L104" t="s">
        <v>672</v>
      </c>
      <c r="N104" t="s">
        <v>687</v>
      </c>
      <c r="O104" t="s">
        <v>689</v>
      </c>
      <c r="P104" t="s">
        <v>687</v>
      </c>
      <c r="Q104" t="s">
        <v>688</v>
      </c>
      <c r="S104" t="s">
        <v>700</v>
      </c>
      <c r="T104" t="s">
        <v>703</v>
      </c>
    </row>
    <row r="105" spans="1:20" x14ac:dyDescent="0.2">
      <c r="A105" t="s">
        <v>617</v>
      </c>
      <c r="B105">
        <v>17</v>
      </c>
      <c r="C105" t="s">
        <v>115</v>
      </c>
      <c r="D105" t="s">
        <v>694</v>
      </c>
      <c r="E105" s="3">
        <f>38.5-60.5</f>
        <v>-22</v>
      </c>
      <c r="F105" s="3">
        <f>42.6-56.5</f>
        <v>-13.899999999999999</v>
      </c>
      <c r="G105" s="3">
        <f t="shared" si="2"/>
        <v>-13.6</v>
      </c>
      <c r="K105" t="s">
        <v>677</v>
      </c>
      <c r="L105" t="s">
        <v>672</v>
      </c>
      <c r="N105" t="s">
        <v>687</v>
      </c>
      <c r="O105" t="s">
        <v>690</v>
      </c>
      <c r="P105" t="s">
        <v>688</v>
      </c>
      <c r="Q105" t="s">
        <v>688</v>
      </c>
      <c r="S105" t="s">
        <v>700</v>
      </c>
      <c r="T105" t="s">
        <v>703</v>
      </c>
    </row>
    <row r="106" spans="1:20" x14ac:dyDescent="0.2">
      <c r="A106" t="s">
        <v>617</v>
      </c>
      <c r="B106">
        <v>18</v>
      </c>
      <c r="C106" t="s">
        <v>116</v>
      </c>
      <c r="D106" t="s">
        <v>694</v>
      </c>
      <c r="E106" s="3">
        <f>40.9-57.8</f>
        <v>-16.899999999999999</v>
      </c>
      <c r="F106" s="3">
        <f>44.3-54.4</f>
        <v>-10.100000000000001</v>
      </c>
      <c r="G106" s="3">
        <f t="shared" si="2"/>
        <v>-8.4999999999999982</v>
      </c>
      <c r="K106" t="s">
        <v>677</v>
      </c>
      <c r="L106" t="s">
        <v>672</v>
      </c>
      <c r="N106" t="s">
        <v>688</v>
      </c>
      <c r="O106" t="s">
        <v>687</v>
      </c>
      <c r="P106" t="s">
        <v>688</v>
      </c>
      <c r="Q106" t="s">
        <v>687</v>
      </c>
      <c r="S106" t="s">
        <v>700</v>
      </c>
      <c r="T106" t="s">
        <v>703</v>
      </c>
    </row>
    <row r="107" spans="1:20" x14ac:dyDescent="0.2">
      <c r="A107" t="s">
        <v>617</v>
      </c>
      <c r="B107">
        <v>19</v>
      </c>
      <c r="C107" t="s">
        <v>117</v>
      </c>
      <c r="D107" t="s">
        <v>694</v>
      </c>
      <c r="E107" s="3">
        <f>34.4-65.4</f>
        <v>-31.000000000000007</v>
      </c>
      <c r="F107" s="3">
        <f>38.6-60.6</f>
        <v>-22</v>
      </c>
      <c r="G107" s="3">
        <f t="shared" si="2"/>
        <v>-22.600000000000009</v>
      </c>
      <c r="K107" t="s">
        <v>677</v>
      </c>
      <c r="L107" t="s">
        <v>672</v>
      </c>
      <c r="N107" t="s">
        <v>687</v>
      </c>
      <c r="O107" t="s">
        <v>689</v>
      </c>
      <c r="P107" t="s">
        <v>688</v>
      </c>
      <c r="Q107" t="s">
        <v>687</v>
      </c>
      <c r="S107" t="s">
        <v>700</v>
      </c>
      <c r="T107" t="s">
        <v>703</v>
      </c>
    </row>
    <row r="108" spans="1:20" x14ac:dyDescent="0.2">
      <c r="A108" t="s">
        <v>617</v>
      </c>
      <c r="B108">
        <v>20</v>
      </c>
      <c r="C108" t="s">
        <v>47</v>
      </c>
      <c r="D108" t="s">
        <v>696</v>
      </c>
      <c r="E108" s="3">
        <f>67.9-30.9</f>
        <v>37.000000000000007</v>
      </c>
      <c r="F108" s="3">
        <f>73.7-25.5</f>
        <v>48.2</v>
      </c>
      <c r="G108" s="3">
        <f t="shared" si="2"/>
        <v>45.400000000000006</v>
      </c>
      <c r="K108" t="s">
        <v>677</v>
      </c>
      <c r="L108" t="s">
        <v>668</v>
      </c>
      <c r="N108" t="s">
        <v>687</v>
      </c>
      <c r="O108" t="s">
        <v>688</v>
      </c>
      <c r="P108" t="s">
        <v>689</v>
      </c>
      <c r="Q108" t="s">
        <v>687</v>
      </c>
      <c r="S108" t="s">
        <v>700</v>
      </c>
      <c r="T108" t="s">
        <v>703</v>
      </c>
    </row>
    <row r="109" spans="1:20" x14ac:dyDescent="0.2">
      <c r="A109" t="s">
        <v>617</v>
      </c>
      <c r="B109">
        <v>21</v>
      </c>
      <c r="C109" t="s">
        <v>118</v>
      </c>
      <c r="D109" t="s">
        <v>694</v>
      </c>
      <c r="E109" s="3">
        <f>41.3-57.5</f>
        <v>-16.200000000000003</v>
      </c>
      <c r="F109" s="3">
        <f>45.2-54</f>
        <v>-8.7999999999999972</v>
      </c>
      <c r="G109" s="3">
        <f t="shared" si="2"/>
        <v>-7.8000000000000025</v>
      </c>
      <c r="K109" t="s">
        <v>677</v>
      </c>
      <c r="L109" t="s">
        <v>672</v>
      </c>
      <c r="N109" t="s">
        <v>687</v>
      </c>
      <c r="O109" t="s">
        <v>689</v>
      </c>
      <c r="P109" t="s">
        <v>687</v>
      </c>
      <c r="Q109" t="s">
        <v>687</v>
      </c>
      <c r="S109" t="s">
        <v>700</v>
      </c>
      <c r="T109" t="s">
        <v>703</v>
      </c>
    </row>
    <row r="110" spans="1:20" x14ac:dyDescent="0.2">
      <c r="A110" t="s">
        <v>617</v>
      </c>
      <c r="B110">
        <v>22</v>
      </c>
      <c r="C110" t="s">
        <v>119</v>
      </c>
      <c r="D110" t="s">
        <v>695</v>
      </c>
      <c r="E110" s="3">
        <f>44.1-54.6</f>
        <v>-10.5</v>
      </c>
      <c r="F110" s="3">
        <f>51-48.8</f>
        <v>2.2000000000000028</v>
      </c>
      <c r="G110" s="3">
        <f t="shared" si="2"/>
        <v>-2.0999999999999996</v>
      </c>
      <c r="K110" t="s">
        <v>677</v>
      </c>
      <c r="L110" t="s">
        <v>672</v>
      </c>
      <c r="N110" t="s">
        <v>689</v>
      </c>
      <c r="O110" t="s">
        <v>687</v>
      </c>
      <c r="P110" t="s">
        <v>687</v>
      </c>
      <c r="Q110" t="s">
        <v>689</v>
      </c>
      <c r="S110" t="s">
        <v>700</v>
      </c>
      <c r="T110" t="s">
        <v>703</v>
      </c>
    </row>
    <row r="111" spans="1:20" x14ac:dyDescent="0.2">
      <c r="A111" t="s">
        <v>617</v>
      </c>
      <c r="B111">
        <v>23</v>
      </c>
      <c r="C111" t="s">
        <v>120</v>
      </c>
      <c r="D111" t="s">
        <v>695</v>
      </c>
      <c r="E111" s="3">
        <f>56.3-42.5</f>
        <v>13.799999999999997</v>
      </c>
      <c r="F111" s="3">
        <f>62.9-36.3</f>
        <v>26.6</v>
      </c>
      <c r="G111" s="3">
        <f t="shared" si="2"/>
        <v>22.199999999999996</v>
      </c>
      <c r="K111" t="s">
        <v>677</v>
      </c>
      <c r="L111" t="s">
        <v>668</v>
      </c>
      <c r="N111" t="s">
        <v>687</v>
      </c>
      <c r="O111" t="s">
        <v>687</v>
      </c>
      <c r="P111" t="s">
        <v>687</v>
      </c>
      <c r="Q111" t="s">
        <v>687</v>
      </c>
      <c r="S111" t="s">
        <v>700</v>
      </c>
      <c r="T111" t="s">
        <v>703</v>
      </c>
    </row>
    <row r="112" spans="1:20" x14ac:dyDescent="0.2">
      <c r="A112" t="s">
        <v>617</v>
      </c>
      <c r="B112">
        <v>24</v>
      </c>
      <c r="C112" t="s">
        <v>121</v>
      </c>
      <c r="D112" t="s">
        <v>695</v>
      </c>
      <c r="E112" s="3">
        <f>68.7-30.1</f>
        <v>38.6</v>
      </c>
      <c r="F112" s="3">
        <f>77.8-21.4</f>
        <v>56.4</v>
      </c>
      <c r="G112" s="3">
        <f t="shared" si="2"/>
        <v>47</v>
      </c>
      <c r="K112" t="s">
        <v>677</v>
      </c>
      <c r="L112" t="s">
        <v>668</v>
      </c>
      <c r="N112" t="s">
        <v>688</v>
      </c>
      <c r="O112" t="s">
        <v>688</v>
      </c>
      <c r="P112" t="s">
        <v>690</v>
      </c>
      <c r="Q112" t="s">
        <v>689</v>
      </c>
      <c r="S112" t="s">
        <v>700</v>
      </c>
      <c r="T112" t="s">
        <v>703</v>
      </c>
    </row>
    <row r="113" spans="1:20" x14ac:dyDescent="0.2">
      <c r="A113" t="s">
        <v>617</v>
      </c>
      <c r="B113">
        <v>25</v>
      </c>
      <c r="C113" t="s">
        <v>122</v>
      </c>
      <c r="D113" t="s">
        <v>695</v>
      </c>
      <c r="E113" s="3">
        <f>44.8-54</f>
        <v>-9.2000000000000028</v>
      </c>
      <c r="F113" s="3">
        <f>52.2-47.1</f>
        <v>5.1000000000000014</v>
      </c>
      <c r="G113" s="3">
        <f t="shared" si="2"/>
        <v>-0.80000000000000249</v>
      </c>
      <c r="K113" t="s">
        <v>677</v>
      </c>
      <c r="L113" t="s">
        <v>672</v>
      </c>
      <c r="N113" t="s">
        <v>690</v>
      </c>
      <c r="O113" t="s">
        <v>687</v>
      </c>
      <c r="P113" t="s">
        <v>688</v>
      </c>
      <c r="Q113" t="s">
        <v>687</v>
      </c>
      <c r="S113" t="s">
        <v>700</v>
      </c>
      <c r="T113" t="s">
        <v>703</v>
      </c>
    </row>
    <row r="114" spans="1:20" x14ac:dyDescent="0.2">
      <c r="A114" t="s">
        <v>617</v>
      </c>
      <c r="B114">
        <v>26</v>
      </c>
      <c r="C114" t="s">
        <v>123</v>
      </c>
      <c r="D114" t="s">
        <v>694</v>
      </c>
      <c r="E114" s="3">
        <f>40.3-58.6</f>
        <v>-18.300000000000004</v>
      </c>
      <c r="F114" s="3">
        <f>49.1-50.2</f>
        <v>-1.1000000000000014</v>
      </c>
      <c r="G114" s="3">
        <f t="shared" si="2"/>
        <v>-9.9000000000000039</v>
      </c>
      <c r="K114" t="s">
        <v>677</v>
      </c>
      <c r="L114" t="s">
        <v>672</v>
      </c>
      <c r="N114" t="s">
        <v>687</v>
      </c>
      <c r="O114" t="s">
        <v>688</v>
      </c>
      <c r="P114" t="s">
        <v>688</v>
      </c>
      <c r="Q114" t="s">
        <v>690</v>
      </c>
      <c r="S114" t="s">
        <v>700</v>
      </c>
      <c r="T114" t="s">
        <v>703</v>
      </c>
    </row>
    <row r="115" spans="1:20" x14ac:dyDescent="0.2">
      <c r="A115" t="s">
        <v>617</v>
      </c>
      <c r="B115">
        <v>27</v>
      </c>
      <c r="C115" t="s">
        <v>124</v>
      </c>
      <c r="D115" t="s">
        <v>694</v>
      </c>
      <c r="E115" s="3">
        <f>42.2-56.7</f>
        <v>-14.5</v>
      </c>
      <c r="F115" s="3">
        <f>49.5-49.7</f>
        <v>-0.20000000000000284</v>
      </c>
      <c r="G115" s="3">
        <f t="shared" si="2"/>
        <v>-6.1</v>
      </c>
      <c r="K115" t="s">
        <v>677</v>
      </c>
      <c r="L115" t="s">
        <v>672</v>
      </c>
      <c r="N115" t="s">
        <v>689</v>
      </c>
      <c r="O115" t="s">
        <v>688</v>
      </c>
      <c r="P115" t="s">
        <v>688</v>
      </c>
      <c r="Q115" t="s">
        <v>690</v>
      </c>
      <c r="S115" t="s">
        <v>700</v>
      </c>
      <c r="T115" t="s">
        <v>703</v>
      </c>
    </row>
    <row r="116" spans="1:20" x14ac:dyDescent="0.2">
      <c r="A116" t="s">
        <v>617</v>
      </c>
      <c r="B116">
        <v>28</v>
      </c>
      <c r="C116" t="s">
        <v>125</v>
      </c>
      <c r="D116" t="s">
        <v>694</v>
      </c>
      <c r="E116" s="3">
        <f>36.8-62.2</f>
        <v>-25.400000000000006</v>
      </c>
      <c r="F116" s="3">
        <f>46.3-52.9</f>
        <v>-6.6000000000000014</v>
      </c>
      <c r="G116" s="3">
        <f t="shared" si="2"/>
        <v>-17.000000000000007</v>
      </c>
      <c r="K116" t="s">
        <v>677</v>
      </c>
      <c r="L116" t="s">
        <v>672</v>
      </c>
      <c r="N116" t="s">
        <v>687</v>
      </c>
      <c r="O116" t="s">
        <v>688</v>
      </c>
      <c r="P116" t="s">
        <v>687</v>
      </c>
      <c r="Q116" t="s">
        <v>690</v>
      </c>
      <c r="S116" t="s">
        <v>700</v>
      </c>
      <c r="T116" t="s">
        <v>703</v>
      </c>
    </row>
    <row r="117" spans="1:20" x14ac:dyDescent="0.2">
      <c r="A117" t="s">
        <v>618</v>
      </c>
      <c r="B117">
        <v>1</v>
      </c>
      <c r="C117" t="s">
        <v>126</v>
      </c>
      <c r="D117" t="s">
        <v>694</v>
      </c>
      <c r="E117" s="3">
        <v>-15.7</v>
      </c>
      <c r="F117" s="3">
        <f>42.6-56</f>
        <v>-13.399999999999999</v>
      </c>
      <c r="G117" s="3">
        <f t="shared" si="2"/>
        <v>-7.2999999999999989</v>
      </c>
      <c r="H117" s="4" t="s">
        <v>820</v>
      </c>
      <c r="I117" s="4" t="s">
        <v>876</v>
      </c>
      <c r="K117" t="s">
        <v>677</v>
      </c>
      <c r="L117" t="s">
        <v>671</v>
      </c>
      <c r="N117" t="s">
        <v>687</v>
      </c>
      <c r="O117" t="s">
        <v>687</v>
      </c>
      <c r="P117" t="s">
        <v>689</v>
      </c>
      <c r="Q117" t="s">
        <v>688</v>
      </c>
      <c r="S117" t="s">
        <v>700</v>
      </c>
      <c r="T117" t="s">
        <v>704</v>
      </c>
    </row>
    <row r="118" spans="1:20" x14ac:dyDescent="0.2">
      <c r="A118" t="s">
        <v>618</v>
      </c>
      <c r="B118">
        <v>2</v>
      </c>
      <c r="C118" t="s">
        <v>127</v>
      </c>
      <c r="D118" t="s">
        <v>695</v>
      </c>
      <c r="E118" s="3">
        <v>7.5</v>
      </c>
      <c r="F118" s="3">
        <f>54.7-44.4</f>
        <v>10.300000000000004</v>
      </c>
      <c r="G118" s="3">
        <f t="shared" si="2"/>
        <v>15.9</v>
      </c>
      <c r="H118" t="s">
        <v>127</v>
      </c>
      <c r="I118" s="4" t="s">
        <v>128</v>
      </c>
      <c r="J118" s="4"/>
      <c r="K118" t="s">
        <v>677</v>
      </c>
      <c r="L118" t="s">
        <v>671</v>
      </c>
      <c r="N118" t="s">
        <v>688</v>
      </c>
      <c r="O118" t="s">
        <v>688</v>
      </c>
      <c r="P118" t="s">
        <v>690</v>
      </c>
      <c r="Q118" t="s">
        <v>688</v>
      </c>
      <c r="S118" t="s">
        <v>700</v>
      </c>
      <c r="T118" t="s">
        <v>704</v>
      </c>
    </row>
    <row r="119" spans="1:20" x14ac:dyDescent="0.2">
      <c r="A119" t="s">
        <v>618</v>
      </c>
      <c r="B119">
        <v>3</v>
      </c>
      <c r="C119" t="s">
        <v>129</v>
      </c>
      <c r="D119" t="s">
        <v>694</v>
      </c>
      <c r="E119" s="3">
        <v>-31</v>
      </c>
      <c r="F119" s="3">
        <f>34.3-64.4</f>
        <v>-30.100000000000009</v>
      </c>
      <c r="G119" s="3">
        <f t="shared" si="2"/>
        <v>-22.6</v>
      </c>
      <c r="H119" s="4" t="s">
        <v>130</v>
      </c>
      <c r="I119" t="s">
        <v>129</v>
      </c>
      <c r="K119" t="s">
        <v>677</v>
      </c>
      <c r="L119" t="s">
        <v>671</v>
      </c>
      <c r="N119" t="s">
        <v>687</v>
      </c>
      <c r="O119" t="s">
        <v>689</v>
      </c>
      <c r="P119" t="s">
        <v>689</v>
      </c>
      <c r="Q119" t="s">
        <v>688</v>
      </c>
      <c r="S119" t="s">
        <v>700</v>
      </c>
      <c r="T119" t="s">
        <v>704</v>
      </c>
    </row>
    <row r="120" spans="1:20" x14ac:dyDescent="0.2">
      <c r="A120" t="s">
        <v>618</v>
      </c>
      <c r="B120">
        <v>4</v>
      </c>
      <c r="C120" t="s">
        <v>131</v>
      </c>
      <c r="D120" t="s">
        <v>695</v>
      </c>
      <c r="E120" s="3">
        <v>52.2</v>
      </c>
      <c r="F120" s="3">
        <f>78.3-20.6</f>
        <v>57.699999999999996</v>
      </c>
      <c r="G120" s="3">
        <f t="shared" si="2"/>
        <v>60.6</v>
      </c>
      <c r="H120" t="s">
        <v>131</v>
      </c>
      <c r="I120" s="4" t="s">
        <v>132</v>
      </c>
      <c r="J120" s="4"/>
      <c r="K120" t="s">
        <v>677</v>
      </c>
      <c r="L120" t="s">
        <v>668</v>
      </c>
      <c r="N120" t="s">
        <v>689</v>
      </c>
      <c r="O120" t="s">
        <v>688</v>
      </c>
      <c r="P120" t="s">
        <v>690</v>
      </c>
      <c r="Q120" t="s">
        <v>687</v>
      </c>
      <c r="S120" t="s">
        <v>700</v>
      </c>
      <c r="T120" t="s">
        <v>704</v>
      </c>
    </row>
    <row r="121" spans="1:20" x14ac:dyDescent="0.2">
      <c r="A121" t="s">
        <v>618</v>
      </c>
      <c r="B121">
        <v>5</v>
      </c>
      <c r="C121" t="s">
        <v>133</v>
      </c>
      <c r="D121" t="s">
        <v>695</v>
      </c>
      <c r="E121" s="3">
        <v>72.099999999999994</v>
      </c>
      <c r="F121" s="3">
        <f>85.8-13</f>
        <v>72.8</v>
      </c>
      <c r="G121" s="3">
        <f t="shared" si="2"/>
        <v>80.5</v>
      </c>
      <c r="H121" t="s">
        <v>133</v>
      </c>
      <c r="I121" s="4" t="s">
        <v>134</v>
      </c>
      <c r="J121" s="4"/>
      <c r="K121" t="s">
        <v>677</v>
      </c>
      <c r="L121" t="s">
        <v>668</v>
      </c>
      <c r="N121" t="s">
        <v>689</v>
      </c>
      <c r="O121" t="s">
        <v>688</v>
      </c>
      <c r="P121" t="s">
        <v>690</v>
      </c>
      <c r="Q121" t="s">
        <v>688</v>
      </c>
      <c r="S121" t="s">
        <v>700</v>
      </c>
      <c r="T121" t="s">
        <v>704</v>
      </c>
    </row>
    <row r="122" spans="1:20" x14ac:dyDescent="0.2">
      <c r="A122" t="s">
        <v>618</v>
      </c>
      <c r="B122">
        <v>6</v>
      </c>
      <c r="C122" t="s">
        <v>135</v>
      </c>
      <c r="D122" t="s">
        <v>695</v>
      </c>
      <c r="E122" s="3">
        <v>50</v>
      </c>
      <c r="F122" s="3">
        <f>74.2-24.7</f>
        <v>49.5</v>
      </c>
      <c r="G122" s="3">
        <f t="shared" si="2"/>
        <v>58.4</v>
      </c>
      <c r="H122" t="s">
        <v>135</v>
      </c>
      <c r="I122" s="4" t="s">
        <v>877</v>
      </c>
      <c r="K122" t="s">
        <v>677</v>
      </c>
      <c r="L122" t="s">
        <v>668</v>
      </c>
      <c r="N122" t="s">
        <v>689</v>
      </c>
      <c r="O122" t="s">
        <v>688</v>
      </c>
      <c r="P122" t="s">
        <v>690</v>
      </c>
      <c r="Q122" t="s">
        <v>688</v>
      </c>
      <c r="S122" t="s">
        <v>700</v>
      </c>
      <c r="T122" t="s">
        <v>704</v>
      </c>
    </row>
    <row r="123" spans="1:20" x14ac:dyDescent="0.2">
      <c r="A123" t="s">
        <v>618</v>
      </c>
      <c r="B123">
        <v>7</v>
      </c>
      <c r="C123" t="s">
        <v>136</v>
      </c>
      <c r="D123" t="s">
        <v>694</v>
      </c>
      <c r="E123" s="3">
        <v>-21.1</v>
      </c>
      <c r="F123" s="3">
        <f>39.7-58.9</f>
        <v>-19.199999999999996</v>
      </c>
      <c r="G123" s="3">
        <f t="shared" si="2"/>
        <v>-12.700000000000001</v>
      </c>
      <c r="H123" s="4" t="s">
        <v>814</v>
      </c>
      <c r="I123" s="6" t="s">
        <v>136</v>
      </c>
      <c r="J123" s="6"/>
      <c r="K123" t="s">
        <v>677</v>
      </c>
      <c r="L123" t="s">
        <v>669</v>
      </c>
      <c r="N123" t="s">
        <v>690</v>
      </c>
      <c r="O123" t="s">
        <v>689</v>
      </c>
      <c r="P123" t="s">
        <v>688</v>
      </c>
      <c r="Q123" t="s">
        <v>688</v>
      </c>
      <c r="S123" t="s">
        <v>700</v>
      </c>
      <c r="T123" t="s">
        <v>704</v>
      </c>
    </row>
    <row r="124" spans="1:20" x14ac:dyDescent="0.2">
      <c r="A124" t="s">
        <v>618</v>
      </c>
      <c r="B124">
        <v>8</v>
      </c>
      <c r="C124" t="s">
        <v>137</v>
      </c>
      <c r="D124" t="s">
        <v>694</v>
      </c>
      <c r="E124" s="3">
        <v>-31.3</v>
      </c>
      <c r="F124" s="3">
        <f>35.7-63.3</f>
        <v>-27.599999999999994</v>
      </c>
      <c r="G124" s="3">
        <f t="shared" si="2"/>
        <v>-22.9</v>
      </c>
      <c r="H124" s="4" t="s">
        <v>138</v>
      </c>
      <c r="I124" s="6" t="s">
        <v>137</v>
      </c>
      <c r="J124" s="6"/>
      <c r="K124" t="s">
        <v>677</v>
      </c>
      <c r="L124" t="s">
        <v>671</v>
      </c>
      <c r="N124" t="s">
        <v>688</v>
      </c>
      <c r="O124" t="s">
        <v>687</v>
      </c>
      <c r="P124" t="s">
        <v>689</v>
      </c>
      <c r="Q124" t="s">
        <v>688</v>
      </c>
      <c r="S124" t="s">
        <v>700</v>
      </c>
      <c r="T124" t="s">
        <v>704</v>
      </c>
    </row>
    <row r="125" spans="1:20" x14ac:dyDescent="0.2">
      <c r="A125" t="s">
        <v>618</v>
      </c>
      <c r="B125">
        <v>9</v>
      </c>
      <c r="C125" t="s">
        <v>139</v>
      </c>
      <c r="D125" t="s">
        <v>694</v>
      </c>
      <c r="E125" s="3">
        <v>-34.9</v>
      </c>
      <c r="F125" s="3">
        <f>33.2-65.5</f>
        <v>-32.299999999999997</v>
      </c>
      <c r="G125" s="3">
        <f t="shared" si="2"/>
        <v>-26.5</v>
      </c>
      <c r="H125" s="4" t="s">
        <v>140</v>
      </c>
      <c r="I125" s="6" t="s">
        <v>139</v>
      </c>
      <c r="J125" s="6"/>
      <c r="K125" t="s">
        <v>677</v>
      </c>
      <c r="L125" t="s">
        <v>671</v>
      </c>
      <c r="N125" t="s">
        <v>687</v>
      </c>
      <c r="O125" t="s">
        <v>689</v>
      </c>
      <c r="P125" t="s">
        <v>687</v>
      </c>
      <c r="Q125" t="s">
        <v>688</v>
      </c>
      <c r="S125" t="s">
        <v>700</v>
      </c>
      <c r="T125" t="s">
        <v>704</v>
      </c>
    </row>
    <row r="126" spans="1:20" x14ac:dyDescent="0.2">
      <c r="A126" t="s">
        <v>618</v>
      </c>
      <c r="B126">
        <v>10</v>
      </c>
      <c r="C126" t="s">
        <v>141</v>
      </c>
      <c r="D126" t="s">
        <v>694</v>
      </c>
      <c r="E126" s="3">
        <v>-21.9</v>
      </c>
      <c r="F126" s="3">
        <f>38.7-60</f>
        <v>-21.299999999999997</v>
      </c>
      <c r="G126" s="3">
        <f t="shared" si="2"/>
        <v>-13.499999999999998</v>
      </c>
      <c r="H126" s="4" t="s">
        <v>878</v>
      </c>
      <c r="I126" s="4" t="s">
        <v>142</v>
      </c>
      <c r="J126" s="4"/>
      <c r="K126" t="s">
        <v>677</v>
      </c>
      <c r="L126" t="s">
        <v>671</v>
      </c>
      <c r="N126" t="s">
        <v>687</v>
      </c>
      <c r="O126" t="s">
        <v>689</v>
      </c>
      <c r="P126" t="s">
        <v>687</v>
      </c>
      <c r="Q126" t="s">
        <v>688</v>
      </c>
      <c r="S126" t="s">
        <v>700</v>
      </c>
      <c r="T126" t="s">
        <v>704</v>
      </c>
    </row>
    <row r="127" spans="1:20" x14ac:dyDescent="0.2">
      <c r="A127" t="s">
        <v>618</v>
      </c>
      <c r="B127">
        <v>11</v>
      </c>
      <c r="C127" t="s">
        <v>143</v>
      </c>
      <c r="D127" t="s">
        <v>694</v>
      </c>
      <c r="E127" s="3">
        <v>-23.7</v>
      </c>
      <c r="F127" s="3">
        <f>38.2-60.1</f>
        <v>-21.9</v>
      </c>
      <c r="G127" s="3">
        <f t="shared" si="2"/>
        <v>-15.299999999999997</v>
      </c>
      <c r="H127" s="4" t="s">
        <v>144</v>
      </c>
      <c r="I127" s="4" t="s">
        <v>813</v>
      </c>
      <c r="K127" t="s">
        <v>677</v>
      </c>
      <c r="L127" t="s">
        <v>671</v>
      </c>
      <c r="N127" t="s">
        <v>689</v>
      </c>
      <c r="O127" t="s">
        <v>689</v>
      </c>
      <c r="P127" t="s">
        <v>687</v>
      </c>
      <c r="Q127" t="s">
        <v>688</v>
      </c>
      <c r="S127" t="s">
        <v>700</v>
      </c>
      <c r="T127" t="s">
        <v>704</v>
      </c>
    </row>
    <row r="128" spans="1:20" x14ac:dyDescent="0.2">
      <c r="A128" t="s">
        <v>618</v>
      </c>
      <c r="B128">
        <v>12</v>
      </c>
      <c r="C128" t="s">
        <v>145</v>
      </c>
      <c r="D128" t="s">
        <v>694</v>
      </c>
      <c r="E128" s="3">
        <v>-14.1</v>
      </c>
      <c r="F128" s="3">
        <f>44.3-54.5</f>
        <v>-10.200000000000003</v>
      </c>
      <c r="G128" s="3">
        <f t="shared" si="2"/>
        <v>-5.6999999999999993</v>
      </c>
      <c r="H128" s="4" t="s">
        <v>817</v>
      </c>
      <c r="I128" t="s">
        <v>145</v>
      </c>
      <c r="K128" t="s">
        <v>677</v>
      </c>
      <c r="L128" t="s">
        <v>671</v>
      </c>
      <c r="N128" t="s">
        <v>688</v>
      </c>
      <c r="O128" t="s">
        <v>687</v>
      </c>
      <c r="P128" t="s">
        <v>689</v>
      </c>
      <c r="Q128" t="s">
        <v>688</v>
      </c>
      <c r="S128" t="s">
        <v>700</v>
      </c>
      <c r="T128" t="s">
        <v>704</v>
      </c>
    </row>
    <row r="129" spans="1:20" x14ac:dyDescent="0.2">
      <c r="A129" t="s">
        <v>618</v>
      </c>
      <c r="B129">
        <v>13</v>
      </c>
      <c r="C129" t="s">
        <v>47</v>
      </c>
      <c r="D129" t="s">
        <v>696</v>
      </c>
      <c r="E129" s="3">
        <v>42.4</v>
      </c>
      <c r="F129" s="3">
        <f>69.7-29.2</f>
        <v>40.5</v>
      </c>
      <c r="G129" s="3">
        <f t="shared" si="2"/>
        <v>50.8</v>
      </c>
      <c r="H129" s="4" t="s">
        <v>146</v>
      </c>
      <c r="I129" s="4" t="s">
        <v>147</v>
      </c>
      <c r="J129" s="4"/>
      <c r="K129" t="s">
        <v>677</v>
      </c>
      <c r="L129" t="s">
        <v>668</v>
      </c>
      <c r="N129" t="s">
        <v>687</v>
      </c>
      <c r="O129" t="s">
        <v>688</v>
      </c>
      <c r="P129" t="s">
        <v>690</v>
      </c>
      <c r="Q129" t="s">
        <v>688</v>
      </c>
      <c r="S129" t="s">
        <v>700</v>
      </c>
      <c r="T129" t="s">
        <v>704</v>
      </c>
    </row>
    <row r="130" spans="1:20" x14ac:dyDescent="0.2">
      <c r="A130" t="s">
        <v>618</v>
      </c>
      <c r="B130">
        <v>14</v>
      </c>
      <c r="C130" t="s">
        <v>148</v>
      </c>
      <c r="D130" t="s">
        <v>694</v>
      </c>
      <c r="E130" s="3">
        <v>-37.4</v>
      </c>
      <c r="F130" s="3">
        <f>30.6-68.1</f>
        <v>-37.499999999999993</v>
      </c>
      <c r="G130" s="3">
        <f t="shared" ref="G130:G193" si="3">E130+6.9+1.5</f>
        <v>-29</v>
      </c>
      <c r="H130" s="4" t="s">
        <v>149</v>
      </c>
      <c r="I130" t="s">
        <v>148</v>
      </c>
      <c r="K130" t="s">
        <v>677</v>
      </c>
      <c r="L130" t="s">
        <v>671</v>
      </c>
      <c r="N130" t="s">
        <v>688</v>
      </c>
      <c r="O130" t="s">
        <v>689</v>
      </c>
      <c r="P130" t="s">
        <v>687</v>
      </c>
      <c r="Q130" t="s">
        <v>688</v>
      </c>
      <c r="S130" t="s">
        <v>700</v>
      </c>
      <c r="T130" t="s">
        <v>704</v>
      </c>
    </row>
    <row r="131" spans="1:20" x14ac:dyDescent="0.2">
      <c r="A131" t="s">
        <v>619</v>
      </c>
      <c r="B131">
        <v>1</v>
      </c>
      <c r="C131" t="s">
        <v>150</v>
      </c>
      <c r="D131" t="s">
        <v>695</v>
      </c>
      <c r="E131" s="3">
        <v>24.7</v>
      </c>
      <c r="F131" s="3">
        <f>63.9-34.5</f>
        <v>29.4</v>
      </c>
      <c r="G131" s="3">
        <f t="shared" si="3"/>
        <v>33.1</v>
      </c>
      <c r="K131" t="s">
        <v>678</v>
      </c>
      <c r="L131" t="s">
        <v>672</v>
      </c>
      <c r="N131" t="s">
        <v>689</v>
      </c>
      <c r="O131" t="s">
        <v>688</v>
      </c>
      <c r="P131" t="s">
        <v>688</v>
      </c>
      <c r="Q131" t="s">
        <v>688</v>
      </c>
      <c r="S131" t="s">
        <v>700</v>
      </c>
      <c r="T131" t="s">
        <v>703</v>
      </c>
    </row>
    <row r="132" spans="1:20" x14ac:dyDescent="0.2">
      <c r="A132" t="s">
        <v>619</v>
      </c>
      <c r="B132">
        <v>2</v>
      </c>
      <c r="C132" t="s">
        <v>151</v>
      </c>
      <c r="D132" t="s">
        <v>695</v>
      </c>
      <c r="E132" s="3">
        <v>21.6</v>
      </c>
      <c r="F132" s="3">
        <f>63.6-34.1</f>
        <v>29.5</v>
      </c>
      <c r="G132" s="3">
        <f t="shared" si="3"/>
        <v>30</v>
      </c>
      <c r="K132" t="s">
        <v>678</v>
      </c>
      <c r="L132" t="s">
        <v>672</v>
      </c>
      <c r="N132" t="s">
        <v>687</v>
      </c>
      <c r="O132" t="s">
        <v>688</v>
      </c>
      <c r="P132" t="s">
        <v>688</v>
      </c>
      <c r="Q132" t="s">
        <v>688</v>
      </c>
      <c r="S132" t="s">
        <v>700</v>
      </c>
      <c r="T132" t="s">
        <v>703</v>
      </c>
    </row>
    <row r="133" spans="1:20" x14ac:dyDescent="0.2">
      <c r="A133" t="s">
        <v>620</v>
      </c>
      <c r="B133">
        <v>1</v>
      </c>
      <c r="C133" t="s">
        <v>152</v>
      </c>
      <c r="D133" t="s">
        <v>694</v>
      </c>
      <c r="E133" s="3">
        <v>-45.1</v>
      </c>
      <c r="F133" s="3">
        <f>29.1-67.1</f>
        <v>-37.999999999999993</v>
      </c>
      <c r="G133" s="3">
        <f t="shared" si="3"/>
        <v>-36.700000000000003</v>
      </c>
      <c r="H133" s="4" t="s">
        <v>153</v>
      </c>
      <c r="I133" t="s">
        <v>152</v>
      </c>
      <c r="K133" t="s">
        <v>666</v>
      </c>
      <c r="L133" t="s">
        <v>671</v>
      </c>
      <c r="N133" t="s">
        <v>687</v>
      </c>
      <c r="O133" t="s">
        <v>690</v>
      </c>
      <c r="P133" t="s">
        <v>688</v>
      </c>
      <c r="Q133" t="s">
        <v>688</v>
      </c>
      <c r="S133" t="s">
        <v>700</v>
      </c>
      <c r="T133" t="s">
        <v>704</v>
      </c>
    </row>
    <row r="134" spans="1:20" x14ac:dyDescent="0.2">
      <c r="A134" t="s">
        <v>620</v>
      </c>
      <c r="B134">
        <v>2</v>
      </c>
      <c r="C134" t="s">
        <v>154</v>
      </c>
      <c r="D134" t="s">
        <v>694</v>
      </c>
      <c r="E134" s="3">
        <v>-26.7</v>
      </c>
      <c r="F134" s="3">
        <f>35.8-59.2</f>
        <v>-23.400000000000006</v>
      </c>
      <c r="G134" s="3">
        <f t="shared" si="3"/>
        <v>-18.299999999999997</v>
      </c>
      <c r="H134" s="4" t="s">
        <v>155</v>
      </c>
      <c r="I134" t="s">
        <v>154</v>
      </c>
      <c r="K134" t="s">
        <v>666</v>
      </c>
      <c r="L134" t="s">
        <v>671</v>
      </c>
      <c r="N134" t="s">
        <v>687</v>
      </c>
      <c r="O134" t="s">
        <v>690</v>
      </c>
      <c r="P134" t="s">
        <v>688</v>
      </c>
      <c r="Q134" t="s">
        <v>688</v>
      </c>
      <c r="S134" t="s">
        <v>700</v>
      </c>
      <c r="T134" t="s">
        <v>704</v>
      </c>
    </row>
    <row r="135" spans="1:20" x14ac:dyDescent="0.2">
      <c r="A135" t="s">
        <v>621</v>
      </c>
      <c r="B135">
        <v>1</v>
      </c>
      <c r="C135" t="s">
        <v>156</v>
      </c>
      <c r="D135" t="s">
        <v>695</v>
      </c>
      <c r="E135" s="3">
        <v>32</v>
      </c>
      <c r="F135" s="3">
        <f>70.5-28.1</f>
        <v>42.4</v>
      </c>
      <c r="G135" s="3">
        <f t="shared" si="3"/>
        <v>40.4</v>
      </c>
      <c r="H135" s="6" t="s">
        <v>156</v>
      </c>
      <c r="I135" s="4" t="s">
        <v>157</v>
      </c>
      <c r="J135" s="4"/>
      <c r="K135" t="s">
        <v>664</v>
      </c>
      <c r="L135" t="s">
        <v>668</v>
      </c>
      <c r="N135" t="s">
        <v>687</v>
      </c>
      <c r="O135" t="s">
        <v>688</v>
      </c>
      <c r="P135" t="s">
        <v>690</v>
      </c>
      <c r="Q135" t="s">
        <v>688</v>
      </c>
      <c r="S135" t="s">
        <v>700</v>
      </c>
      <c r="T135" t="s">
        <v>704</v>
      </c>
    </row>
    <row r="136" spans="1:20" x14ac:dyDescent="0.2">
      <c r="A136" t="s">
        <v>621</v>
      </c>
      <c r="B136">
        <v>2</v>
      </c>
      <c r="C136" t="s">
        <v>158</v>
      </c>
      <c r="D136" t="s">
        <v>695</v>
      </c>
      <c r="E136" s="3">
        <v>33.1</v>
      </c>
      <c r="F136" s="3">
        <f>69.3-29.3</f>
        <v>40</v>
      </c>
      <c r="G136" s="3">
        <f t="shared" si="3"/>
        <v>41.5</v>
      </c>
      <c r="H136" s="4" t="s">
        <v>159</v>
      </c>
      <c r="I136" s="4" t="s">
        <v>160</v>
      </c>
      <c r="J136" s="4"/>
      <c r="K136" t="s">
        <v>664</v>
      </c>
      <c r="L136" t="s">
        <v>668</v>
      </c>
      <c r="N136" t="s">
        <v>688</v>
      </c>
      <c r="O136" t="s">
        <v>688</v>
      </c>
      <c r="P136" t="s">
        <v>690</v>
      </c>
      <c r="Q136" t="s">
        <v>688</v>
      </c>
      <c r="S136" t="s">
        <v>700</v>
      </c>
      <c r="T136" t="s">
        <v>704</v>
      </c>
    </row>
    <row r="137" spans="1:20" x14ac:dyDescent="0.2">
      <c r="A137" t="s">
        <v>621</v>
      </c>
      <c r="B137">
        <v>3</v>
      </c>
      <c r="C137" t="s">
        <v>161</v>
      </c>
      <c r="D137" t="s">
        <v>695</v>
      </c>
      <c r="E137" s="3">
        <v>31.2</v>
      </c>
      <c r="F137" s="3">
        <f>69.7-28.3</f>
        <v>41.400000000000006</v>
      </c>
      <c r="G137" s="3">
        <f t="shared" si="3"/>
        <v>39.6</v>
      </c>
      <c r="H137" s="6" t="s">
        <v>161</v>
      </c>
      <c r="I137" s="4" t="s">
        <v>162</v>
      </c>
      <c r="J137" s="4"/>
      <c r="K137" t="s">
        <v>664</v>
      </c>
      <c r="L137" t="s">
        <v>668</v>
      </c>
      <c r="N137" t="s">
        <v>687</v>
      </c>
      <c r="O137" t="s">
        <v>688</v>
      </c>
      <c r="P137" t="s">
        <v>688</v>
      </c>
      <c r="Q137" t="s">
        <v>689</v>
      </c>
      <c r="S137" t="s">
        <v>700</v>
      </c>
      <c r="T137" t="s">
        <v>704</v>
      </c>
    </row>
    <row r="138" spans="1:20" x14ac:dyDescent="0.2">
      <c r="A138" t="s">
        <v>621</v>
      </c>
      <c r="B138">
        <v>4</v>
      </c>
      <c r="C138" t="s">
        <v>163</v>
      </c>
      <c r="D138" t="s">
        <v>695</v>
      </c>
      <c r="E138" s="3">
        <v>28.3</v>
      </c>
      <c r="F138" s="3">
        <f>72.3-25.9</f>
        <v>46.4</v>
      </c>
      <c r="G138" s="3">
        <f t="shared" si="3"/>
        <v>36.700000000000003</v>
      </c>
      <c r="H138" s="4" t="s">
        <v>164</v>
      </c>
      <c r="I138" s="4" t="s">
        <v>165</v>
      </c>
      <c r="J138" s="4"/>
      <c r="K138" t="s">
        <v>664</v>
      </c>
      <c r="L138" t="s">
        <v>668</v>
      </c>
      <c r="N138" t="s">
        <v>688</v>
      </c>
      <c r="O138" t="s">
        <v>688</v>
      </c>
      <c r="P138" t="s">
        <v>688</v>
      </c>
      <c r="Q138" t="s">
        <v>690</v>
      </c>
      <c r="S138" t="s">
        <v>700</v>
      </c>
      <c r="T138" t="s">
        <v>704</v>
      </c>
    </row>
    <row r="139" spans="1:20" x14ac:dyDescent="0.2">
      <c r="A139" t="s">
        <v>621</v>
      </c>
      <c r="B139">
        <v>5</v>
      </c>
      <c r="C139" t="s">
        <v>166</v>
      </c>
      <c r="D139" t="s">
        <v>695</v>
      </c>
      <c r="E139" s="3">
        <v>37.200000000000003</v>
      </c>
      <c r="F139" s="3">
        <f>69-29.2</f>
        <v>39.799999999999997</v>
      </c>
      <c r="G139" s="3">
        <f t="shared" si="3"/>
        <v>45.6</v>
      </c>
      <c r="H139" s="6" t="s">
        <v>166</v>
      </c>
      <c r="I139" s="4" t="s">
        <v>167</v>
      </c>
      <c r="J139" s="4"/>
      <c r="K139" t="s">
        <v>664</v>
      </c>
      <c r="L139" t="s">
        <v>668</v>
      </c>
      <c r="N139" t="s">
        <v>690</v>
      </c>
      <c r="O139" t="s">
        <v>689</v>
      </c>
      <c r="P139" t="s">
        <v>688</v>
      </c>
      <c r="Q139" t="s">
        <v>688</v>
      </c>
      <c r="S139" t="s">
        <v>700</v>
      </c>
      <c r="T139" t="s">
        <v>704</v>
      </c>
    </row>
    <row r="140" spans="1:20" x14ac:dyDescent="0.2">
      <c r="A140" t="s">
        <v>621</v>
      </c>
      <c r="B140">
        <v>6</v>
      </c>
      <c r="C140" t="s">
        <v>168</v>
      </c>
      <c r="D140" t="s">
        <v>695</v>
      </c>
      <c r="E140" s="3">
        <v>5.5</v>
      </c>
      <c r="F140" s="3">
        <f>54.5-43.6</f>
        <v>10.899999999999999</v>
      </c>
      <c r="G140" s="3">
        <f t="shared" si="3"/>
        <v>13.9</v>
      </c>
      <c r="H140" s="6" t="s">
        <v>168</v>
      </c>
      <c r="I140" s="4" t="s">
        <v>169</v>
      </c>
      <c r="J140" s="4"/>
      <c r="K140" t="s">
        <v>664</v>
      </c>
      <c r="L140" t="s">
        <v>668</v>
      </c>
      <c r="N140" t="s">
        <v>689</v>
      </c>
      <c r="O140" t="s">
        <v>689</v>
      </c>
      <c r="P140" t="s">
        <v>688</v>
      </c>
      <c r="Q140" t="s">
        <v>688</v>
      </c>
      <c r="S140" t="s">
        <v>700</v>
      </c>
      <c r="T140" t="s">
        <v>704</v>
      </c>
    </row>
    <row r="141" spans="1:20" x14ac:dyDescent="0.2">
      <c r="A141" t="s">
        <v>621</v>
      </c>
      <c r="B141">
        <v>7</v>
      </c>
      <c r="C141" t="s">
        <v>170</v>
      </c>
      <c r="D141" t="s">
        <v>695</v>
      </c>
      <c r="E141" s="3">
        <v>65.5</v>
      </c>
      <c r="F141" s="3">
        <f>85.6-12.8</f>
        <v>72.8</v>
      </c>
      <c r="G141" s="3">
        <f t="shared" si="3"/>
        <v>73.900000000000006</v>
      </c>
      <c r="H141" s="4" t="s">
        <v>171</v>
      </c>
      <c r="I141" s="4" t="s">
        <v>172</v>
      </c>
      <c r="J141" s="4"/>
      <c r="K141" t="s">
        <v>664</v>
      </c>
      <c r="L141" t="s">
        <v>668</v>
      </c>
      <c r="N141" t="s">
        <v>689</v>
      </c>
      <c r="O141" t="s">
        <v>688</v>
      </c>
      <c r="P141" t="s">
        <v>689</v>
      </c>
      <c r="Q141" t="s">
        <v>688</v>
      </c>
      <c r="S141" t="s">
        <v>700</v>
      </c>
      <c r="T141" t="s">
        <v>704</v>
      </c>
    </row>
    <row r="142" spans="1:20" x14ac:dyDescent="0.2">
      <c r="A142" t="s">
        <v>621</v>
      </c>
      <c r="B142">
        <v>8</v>
      </c>
      <c r="C142" t="s">
        <v>173</v>
      </c>
      <c r="D142" t="s">
        <v>695</v>
      </c>
      <c r="E142" s="3">
        <v>7</v>
      </c>
      <c r="F142" s="3">
        <f>56.8-41.4</f>
        <v>15.399999999999999</v>
      </c>
      <c r="G142" s="3">
        <f t="shared" si="3"/>
        <v>15.4</v>
      </c>
      <c r="H142" s="4" t="s">
        <v>174</v>
      </c>
      <c r="I142" s="4" t="s">
        <v>175</v>
      </c>
      <c r="J142" s="4"/>
      <c r="K142" t="s">
        <v>664</v>
      </c>
      <c r="L142" t="s">
        <v>668</v>
      </c>
      <c r="N142" t="s">
        <v>689</v>
      </c>
      <c r="O142" t="s">
        <v>687</v>
      </c>
      <c r="P142" t="s">
        <v>688</v>
      </c>
      <c r="Q142" t="s">
        <v>687</v>
      </c>
      <c r="S142" t="s">
        <v>700</v>
      </c>
      <c r="T142" t="s">
        <v>704</v>
      </c>
    </row>
    <row r="143" spans="1:20" x14ac:dyDescent="0.2">
      <c r="A143" t="s">
        <v>621</v>
      </c>
      <c r="B143">
        <v>9</v>
      </c>
      <c r="C143" t="s">
        <v>176</v>
      </c>
      <c r="D143" t="s">
        <v>695</v>
      </c>
      <c r="E143" s="3">
        <v>36.5</v>
      </c>
      <c r="F143" s="3">
        <f>69.8-28.5</f>
        <v>41.3</v>
      </c>
      <c r="G143" s="3">
        <f t="shared" si="3"/>
        <v>44.9</v>
      </c>
      <c r="H143" s="4" t="s">
        <v>177</v>
      </c>
      <c r="I143" s="4" t="s">
        <v>178</v>
      </c>
      <c r="J143" s="4"/>
      <c r="K143" t="s">
        <v>664</v>
      </c>
      <c r="L143" t="s">
        <v>669</v>
      </c>
      <c r="N143" t="s">
        <v>690</v>
      </c>
      <c r="O143" t="s">
        <v>689</v>
      </c>
      <c r="P143" t="s">
        <v>688</v>
      </c>
      <c r="Q143" t="s">
        <v>688</v>
      </c>
      <c r="S143" t="s">
        <v>700</v>
      </c>
      <c r="T143" t="s">
        <v>704</v>
      </c>
    </row>
    <row r="144" spans="1:20" x14ac:dyDescent="0.2">
      <c r="A144" t="s">
        <v>621</v>
      </c>
      <c r="B144">
        <v>10</v>
      </c>
      <c r="C144" t="s">
        <v>179</v>
      </c>
      <c r="D144" t="s">
        <v>695</v>
      </c>
      <c r="E144" s="3">
        <v>22</v>
      </c>
      <c r="F144" s="3">
        <f>62-36.1</f>
        <v>25.9</v>
      </c>
      <c r="G144" s="3">
        <f t="shared" si="3"/>
        <v>30.4</v>
      </c>
      <c r="H144" s="6" t="s">
        <v>179</v>
      </c>
      <c r="I144" s="4" t="s">
        <v>180</v>
      </c>
      <c r="J144" s="4"/>
      <c r="K144" t="s">
        <v>664</v>
      </c>
      <c r="L144" t="s">
        <v>669</v>
      </c>
      <c r="N144" t="s">
        <v>689</v>
      </c>
      <c r="O144" t="s">
        <v>689</v>
      </c>
      <c r="P144" t="s">
        <v>688</v>
      </c>
      <c r="Q144" t="s">
        <v>687</v>
      </c>
      <c r="S144" t="s">
        <v>700</v>
      </c>
      <c r="T144" t="s">
        <v>704</v>
      </c>
    </row>
    <row r="145" spans="1:20" x14ac:dyDescent="0.2">
      <c r="A145" t="s">
        <v>621</v>
      </c>
      <c r="B145">
        <v>11</v>
      </c>
      <c r="C145" t="s">
        <v>181</v>
      </c>
      <c r="D145" t="s">
        <v>695</v>
      </c>
      <c r="E145" s="3">
        <v>11.4</v>
      </c>
      <c r="F145" s="3">
        <f>56.6-41.3</f>
        <v>15.300000000000004</v>
      </c>
      <c r="G145" s="3">
        <f t="shared" si="3"/>
        <v>19.8</v>
      </c>
      <c r="H145" s="6" t="s">
        <v>181</v>
      </c>
      <c r="I145" s="4" t="s">
        <v>182</v>
      </c>
      <c r="J145" s="4"/>
      <c r="K145" t="s">
        <v>664</v>
      </c>
      <c r="L145" t="s">
        <v>669</v>
      </c>
      <c r="N145" t="s">
        <v>689</v>
      </c>
      <c r="O145" t="s">
        <v>689</v>
      </c>
      <c r="P145" t="s">
        <v>688</v>
      </c>
      <c r="Q145" t="s">
        <v>687</v>
      </c>
      <c r="S145" t="s">
        <v>700</v>
      </c>
      <c r="T145" t="s">
        <v>704</v>
      </c>
    </row>
    <row r="146" spans="1:20" x14ac:dyDescent="0.2">
      <c r="A146" t="s">
        <v>621</v>
      </c>
      <c r="B146">
        <v>12</v>
      </c>
      <c r="C146" t="s">
        <v>183</v>
      </c>
      <c r="D146" t="s">
        <v>694</v>
      </c>
      <c r="E146" s="3">
        <v>-43.5</v>
      </c>
      <c r="F146" s="3">
        <f>27.7-70.5</f>
        <v>-42.8</v>
      </c>
      <c r="G146" s="3">
        <f t="shared" si="3"/>
        <v>-35.1</v>
      </c>
      <c r="H146" s="4" t="s">
        <v>184</v>
      </c>
      <c r="I146" t="s">
        <v>183</v>
      </c>
      <c r="K146" t="s">
        <v>664</v>
      </c>
      <c r="L146" t="s">
        <v>671</v>
      </c>
      <c r="N146" t="s">
        <v>688</v>
      </c>
      <c r="O146" t="s">
        <v>690</v>
      </c>
      <c r="P146" t="s">
        <v>688</v>
      </c>
      <c r="Q146" t="s">
        <v>688</v>
      </c>
      <c r="S146" t="s">
        <v>700</v>
      </c>
      <c r="T146" t="s">
        <v>704</v>
      </c>
    </row>
    <row r="147" spans="1:20" x14ac:dyDescent="0.2">
      <c r="A147" t="s">
        <v>621</v>
      </c>
      <c r="B147">
        <v>13</v>
      </c>
      <c r="C147" t="s">
        <v>185</v>
      </c>
      <c r="D147" t="s">
        <v>695</v>
      </c>
      <c r="E147" s="3">
        <v>10.7</v>
      </c>
      <c r="F147" s="3">
        <f>54.4-43.2</f>
        <v>11.199999999999996</v>
      </c>
      <c r="G147" s="3">
        <f t="shared" si="3"/>
        <v>19.100000000000001</v>
      </c>
      <c r="H147" s="6" t="s">
        <v>185</v>
      </c>
      <c r="I147" s="4" t="s">
        <v>186</v>
      </c>
      <c r="J147" s="4"/>
      <c r="K147" t="s">
        <v>664</v>
      </c>
      <c r="L147" t="s">
        <v>672</v>
      </c>
      <c r="N147" t="s">
        <v>687</v>
      </c>
      <c r="O147" t="s">
        <v>689</v>
      </c>
      <c r="P147" t="s">
        <v>687</v>
      </c>
      <c r="Q147" t="s">
        <v>688</v>
      </c>
      <c r="S147" t="s">
        <v>700</v>
      </c>
      <c r="T147" t="s">
        <v>704</v>
      </c>
    </row>
    <row r="148" spans="1:20" x14ac:dyDescent="0.2">
      <c r="A148" t="s">
        <v>621</v>
      </c>
      <c r="B148">
        <v>14</v>
      </c>
      <c r="C148" t="s">
        <v>187</v>
      </c>
      <c r="D148" t="s">
        <v>695</v>
      </c>
      <c r="E148" s="3">
        <v>5.2</v>
      </c>
      <c r="F148" s="3">
        <f>54.7-43.3</f>
        <v>11.400000000000006</v>
      </c>
      <c r="G148" s="3">
        <f t="shared" si="3"/>
        <v>13.600000000000001</v>
      </c>
      <c r="H148" s="6" t="s">
        <v>187</v>
      </c>
      <c r="I148" s="4" t="s">
        <v>188</v>
      </c>
      <c r="J148" s="4"/>
      <c r="K148" t="s">
        <v>664</v>
      </c>
      <c r="L148" t="s">
        <v>670</v>
      </c>
      <c r="N148" t="s">
        <v>687</v>
      </c>
      <c r="O148" t="s">
        <v>689</v>
      </c>
      <c r="P148" t="s">
        <v>687</v>
      </c>
      <c r="Q148" t="s">
        <v>687</v>
      </c>
      <c r="S148" t="s">
        <v>700</v>
      </c>
      <c r="T148" t="s">
        <v>704</v>
      </c>
    </row>
    <row r="149" spans="1:20" x14ac:dyDescent="0.2">
      <c r="A149" t="s">
        <v>621</v>
      </c>
      <c r="B149">
        <v>15</v>
      </c>
      <c r="C149" t="s">
        <v>189</v>
      </c>
      <c r="D149" t="s">
        <v>694</v>
      </c>
      <c r="E149" s="3">
        <v>-39.9</v>
      </c>
      <c r="F149" s="3">
        <f>29.6-68.3</f>
        <v>-38.699999999999996</v>
      </c>
      <c r="G149" s="3">
        <f t="shared" si="3"/>
        <v>-31.5</v>
      </c>
      <c r="H149" s="4" t="s">
        <v>190</v>
      </c>
      <c r="I149" s="6" t="s">
        <v>189</v>
      </c>
      <c r="J149" s="6"/>
      <c r="K149" t="s">
        <v>664</v>
      </c>
      <c r="L149" t="s">
        <v>671</v>
      </c>
      <c r="N149" t="s">
        <v>687</v>
      </c>
      <c r="O149" t="s">
        <v>690</v>
      </c>
      <c r="P149" t="s">
        <v>688</v>
      </c>
      <c r="Q149" t="s">
        <v>688</v>
      </c>
      <c r="S149" t="s">
        <v>700</v>
      </c>
      <c r="T149" t="s">
        <v>704</v>
      </c>
    </row>
    <row r="150" spans="1:20" x14ac:dyDescent="0.2">
      <c r="A150" t="s">
        <v>621</v>
      </c>
      <c r="B150">
        <v>16</v>
      </c>
      <c r="C150" t="s">
        <v>191</v>
      </c>
      <c r="D150" t="s">
        <v>694</v>
      </c>
      <c r="E150" s="3">
        <v>-22.7</v>
      </c>
      <c r="F150" s="3">
        <f>38.1-59.6</f>
        <v>-21.5</v>
      </c>
      <c r="G150" s="3">
        <f t="shared" si="3"/>
        <v>-14.299999999999999</v>
      </c>
      <c r="H150" s="4" t="s">
        <v>192</v>
      </c>
      <c r="I150" s="6" t="s">
        <v>191</v>
      </c>
      <c r="J150" s="6"/>
      <c r="K150" t="s">
        <v>664</v>
      </c>
      <c r="L150" t="s">
        <v>671</v>
      </c>
      <c r="N150" t="s">
        <v>687</v>
      </c>
      <c r="O150" t="s">
        <v>690</v>
      </c>
      <c r="P150" t="s">
        <v>688</v>
      </c>
      <c r="Q150" t="s">
        <v>688</v>
      </c>
      <c r="S150" t="s">
        <v>700</v>
      </c>
      <c r="T150" t="s">
        <v>704</v>
      </c>
    </row>
    <row r="151" spans="1:20" x14ac:dyDescent="0.2">
      <c r="A151" t="s">
        <v>621</v>
      </c>
      <c r="B151">
        <v>17</v>
      </c>
      <c r="C151" t="s">
        <v>193</v>
      </c>
      <c r="D151" t="s">
        <v>695</v>
      </c>
      <c r="E151" s="3">
        <v>4.8</v>
      </c>
      <c r="F151" s="3">
        <f>52.7-44.9</f>
        <v>7.8000000000000043</v>
      </c>
      <c r="G151" s="3">
        <f t="shared" si="3"/>
        <v>13.2</v>
      </c>
      <c r="H151" t="s">
        <v>193</v>
      </c>
      <c r="I151" s="4" t="s">
        <v>194</v>
      </c>
      <c r="J151" s="4"/>
      <c r="K151" t="s">
        <v>664</v>
      </c>
      <c r="L151" t="s">
        <v>672</v>
      </c>
      <c r="N151" t="s">
        <v>688</v>
      </c>
      <c r="O151" t="s">
        <v>689</v>
      </c>
      <c r="P151" t="s">
        <v>687</v>
      </c>
      <c r="Q151" t="s">
        <v>688</v>
      </c>
      <c r="S151" t="s">
        <v>700</v>
      </c>
      <c r="T151" t="s">
        <v>704</v>
      </c>
    </row>
    <row r="152" spans="1:20" x14ac:dyDescent="0.2">
      <c r="A152" t="s">
        <v>622</v>
      </c>
      <c r="B152">
        <v>1</v>
      </c>
      <c r="C152" t="s">
        <v>195</v>
      </c>
      <c r="D152" t="s">
        <v>695</v>
      </c>
      <c r="E152" s="3">
        <v>0.3</v>
      </c>
      <c r="F152" s="3">
        <f>53.4-45</f>
        <v>8.3999999999999986</v>
      </c>
      <c r="G152" s="3">
        <f t="shared" si="3"/>
        <v>8.6999999999999993</v>
      </c>
      <c r="H152" t="s">
        <v>195</v>
      </c>
      <c r="I152" s="4" t="s">
        <v>196</v>
      </c>
      <c r="J152" s="4"/>
      <c r="K152" t="s">
        <v>664</v>
      </c>
      <c r="L152" t="s">
        <v>669</v>
      </c>
      <c r="N152" t="s">
        <v>687</v>
      </c>
      <c r="O152" t="s">
        <v>690</v>
      </c>
      <c r="P152" t="s">
        <v>687</v>
      </c>
      <c r="Q152" t="s">
        <v>688</v>
      </c>
      <c r="S152" t="s">
        <v>700</v>
      </c>
      <c r="T152" t="s">
        <v>704</v>
      </c>
    </row>
    <row r="153" spans="1:20" x14ac:dyDescent="0.2">
      <c r="A153" t="s">
        <v>622</v>
      </c>
      <c r="B153">
        <v>2</v>
      </c>
      <c r="C153" t="s">
        <v>197</v>
      </c>
      <c r="D153" t="s">
        <v>694</v>
      </c>
      <c r="E153" s="3">
        <v>-26.4</v>
      </c>
      <c r="F153" s="3">
        <f>37.8-60.4</f>
        <v>-22.6</v>
      </c>
      <c r="G153" s="3">
        <f t="shared" si="3"/>
        <v>-18</v>
      </c>
      <c r="H153" s="4" t="s">
        <v>198</v>
      </c>
      <c r="I153" s="6" t="s">
        <v>197</v>
      </c>
      <c r="J153" s="6"/>
      <c r="K153" t="s">
        <v>664</v>
      </c>
      <c r="L153" t="s">
        <v>670</v>
      </c>
      <c r="N153" t="s">
        <v>688</v>
      </c>
      <c r="O153" t="s">
        <v>690</v>
      </c>
      <c r="P153" t="s">
        <v>688</v>
      </c>
      <c r="Q153" t="s">
        <v>688</v>
      </c>
      <c r="S153" t="s">
        <v>700</v>
      </c>
      <c r="T153" t="s">
        <v>704</v>
      </c>
    </row>
    <row r="154" spans="1:20" x14ac:dyDescent="0.2">
      <c r="A154" t="s">
        <v>622</v>
      </c>
      <c r="B154">
        <v>3</v>
      </c>
      <c r="C154" t="s">
        <v>199</v>
      </c>
      <c r="D154" t="s">
        <v>694</v>
      </c>
      <c r="E154" s="3">
        <v>-31.6</v>
      </c>
      <c r="F154" s="3">
        <f>34-63.9</f>
        <v>-29.9</v>
      </c>
      <c r="G154" s="3">
        <f t="shared" si="3"/>
        <v>-23.200000000000003</v>
      </c>
      <c r="H154" s="4" t="s">
        <v>200</v>
      </c>
      <c r="I154" s="6" t="s">
        <v>199</v>
      </c>
      <c r="J154" s="6"/>
      <c r="K154" t="s">
        <v>664</v>
      </c>
      <c r="L154" t="s">
        <v>671</v>
      </c>
      <c r="N154" t="s">
        <v>688</v>
      </c>
      <c r="O154" t="s">
        <v>690</v>
      </c>
      <c r="P154" t="s">
        <v>688</v>
      </c>
      <c r="Q154" t="s">
        <v>688</v>
      </c>
      <c r="S154" t="s">
        <v>700</v>
      </c>
      <c r="T154" t="s">
        <v>704</v>
      </c>
    </row>
    <row r="155" spans="1:20" x14ac:dyDescent="0.2">
      <c r="A155" t="s">
        <v>622</v>
      </c>
      <c r="B155">
        <v>4</v>
      </c>
      <c r="C155" t="s">
        <v>201</v>
      </c>
      <c r="D155" t="s">
        <v>694</v>
      </c>
      <c r="E155" s="3">
        <v>-29.7</v>
      </c>
      <c r="F155" s="3">
        <f>34.3-63.4</f>
        <v>-29.1</v>
      </c>
      <c r="G155" s="3">
        <f t="shared" si="3"/>
        <v>-21.299999999999997</v>
      </c>
      <c r="H155" s="4" t="s">
        <v>202</v>
      </c>
      <c r="I155" s="6" t="s">
        <v>201</v>
      </c>
      <c r="J155" s="6"/>
      <c r="K155" t="s">
        <v>664</v>
      </c>
      <c r="L155" t="s">
        <v>671</v>
      </c>
      <c r="N155" t="s">
        <v>687</v>
      </c>
      <c r="O155" t="s">
        <v>690</v>
      </c>
      <c r="P155" t="s">
        <v>688</v>
      </c>
      <c r="Q155" t="s">
        <v>688</v>
      </c>
      <c r="S155" t="s">
        <v>700</v>
      </c>
      <c r="T155" t="s">
        <v>704</v>
      </c>
    </row>
    <row r="156" spans="1:20" x14ac:dyDescent="0.2">
      <c r="A156" t="s">
        <v>622</v>
      </c>
      <c r="B156">
        <v>5</v>
      </c>
      <c r="C156" t="s">
        <v>203</v>
      </c>
      <c r="D156" t="s">
        <v>694</v>
      </c>
      <c r="E156" s="3">
        <v>-16.7</v>
      </c>
      <c r="F156" s="3">
        <f>41-57</f>
        <v>-16</v>
      </c>
      <c r="G156" s="3">
        <f t="shared" si="3"/>
        <v>-8.2999999999999989</v>
      </c>
      <c r="H156" s="4" t="s">
        <v>204</v>
      </c>
      <c r="I156" s="6" t="s">
        <v>203</v>
      </c>
      <c r="J156" s="6"/>
      <c r="K156" t="s">
        <v>664</v>
      </c>
      <c r="L156" t="s">
        <v>669</v>
      </c>
      <c r="N156" t="s">
        <v>689</v>
      </c>
      <c r="O156" t="s">
        <v>690</v>
      </c>
      <c r="P156" t="s">
        <v>688</v>
      </c>
      <c r="Q156" t="s">
        <v>688</v>
      </c>
      <c r="S156" t="s">
        <v>700</v>
      </c>
      <c r="T156" t="s">
        <v>704</v>
      </c>
    </row>
    <row r="157" spans="1:20" x14ac:dyDescent="0.2">
      <c r="A157" t="s">
        <v>622</v>
      </c>
      <c r="B157">
        <v>6</v>
      </c>
      <c r="C157" t="s">
        <v>205</v>
      </c>
      <c r="D157" t="s">
        <v>694</v>
      </c>
      <c r="E157" s="3">
        <v>-33.1</v>
      </c>
      <c r="F157" s="3">
        <f>33-64.9</f>
        <v>-31.900000000000006</v>
      </c>
      <c r="G157" s="3">
        <f t="shared" si="3"/>
        <v>-24.700000000000003</v>
      </c>
      <c r="H157" s="4" t="s">
        <v>206</v>
      </c>
      <c r="I157" s="6" t="s">
        <v>205</v>
      </c>
      <c r="J157" s="6"/>
      <c r="K157" t="s">
        <v>664</v>
      </c>
      <c r="L157" t="s">
        <v>671</v>
      </c>
      <c r="N157" t="s">
        <v>687</v>
      </c>
      <c r="O157" t="s">
        <v>690</v>
      </c>
      <c r="P157" t="s">
        <v>688</v>
      </c>
      <c r="Q157" t="s">
        <v>688</v>
      </c>
      <c r="S157" t="s">
        <v>700</v>
      </c>
      <c r="T157" t="s">
        <v>704</v>
      </c>
    </row>
    <row r="158" spans="1:20" x14ac:dyDescent="0.2">
      <c r="A158" t="s">
        <v>622</v>
      </c>
      <c r="B158">
        <v>7</v>
      </c>
      <c r="C158" t="s">
        <v>207</v>
      </c>
      <c r="D158" t="s">
        <v>695</v>
      </c>
      <c r="E158" s="3">
        <v>41.4</v>
      </c>
      <c r="F158" s="3">
        <f>70.3-27.9</f>
        <v>42.4</v>
      </c>
      <c r="G158" s="3">
        <f t="shared" si="3"/>
        <v>49.8</v>
      </c>
      <c r="H158" s="6" t="s">
        <v>207</v>
      </c>
      <c r="I158" s="4" t="s">
        <v>208</v>
      </c>
      <c r="J158" s="4"/>
      <c r="K158" t="s">
        <v>664</v>
      </c>
      <c r="L158" t="s">
        <v>668</v>
      </c>
      <c r="N158" t="s">
        <v>687</v>
      </c>
      <c r="O158" t="s">
        <v>687</v>
      </c>
      <c r="P158" t="s">
        <v>689</v>
      </c>
      <c r="Q158" t="s">
        <v>688</v>
      </c>
      <c r="S158" t="s">
        <v>700</v>
      </c>
      <c r="T158" t="s">
        <v>704</v>
      </c>
    </row>
    <row r="159" spans="1:20" x14ac:dyDescent="0.2">
      <c r="A159" t="s">
        <v>622</v>
      </c>
      <c r="B159">
        <v>8</v>
      </c>
      <c r="C159" t="s">
        <v>209</v>
      </c>
      <c r="D159" t="s">
        <v>694</v>
      </c>
      <c r="E159" s="3">
        <v>-36.5</v>
      </c>
      <c r="F159" s="3">
        <f>32.7-65.5</f>
        <v>-32.799999999999997</v>
      </c>
      <c r="G159" s="3">
        <f t="shared" si="3"/>
        <v>-28.1</v>
      </c>
      <c r="H159" s="4" t="s">
        <v>210</v>
      </c>
      <c r="I159" s="6" t="s">
        <v>209</v>
      </c>
      <c r="J159" s="6"/>
      <c r="K159" t="s">
        <v>664</v>
      </c>
      <c r="L159" t="s">
        <v>671</v>
      </c>
      <c r="N159" t="s">
        <v>688</v>
      </c>
      <c r="O159" t="s">
        <v>690</v>
      </c>
      <c r="P159" t="s">
        <v>688</v>
      </c>
      <c r="Q159" t="s">
        <v>688</v>
      </c>
      <c r="S159" t="s">
        <v>700</v>
      </c>
      <c r="T159" t="s">
        <v>704</v>
      </c>
    </row>
    <row r="160" spans="1:20" x14ac:dyDescent="0.2">
      <c r="A160" t="s">
        <v>622</v>
      </c>
      <c r="B160">
        <v>9</v>
      </c>
      <c r="C160" t="s">
        <v>211</v>
      </c>
      <c r="D160" t="s">
        <v>694</v>
      </c>
      <c r="E160" s="3">
        <v>-30.4</v>
      </c>
      <c r="F160" s="3">
        <f>35.4-62.8</f>
        <v>-27.4</v>
      </c>
      <c r="G160" s="3">
        <f t="shared" si="3"/>
        <v>-22</v>
      </c>
      <c r="H160" s="4" t="s">
        <v>212</v>
      </c>
      <c r="I160" s="6" t="s">
        <v>211</v>
      </c>
      <c r="J160" s="6"/>
      <c r="K160" t="s">
        <v>664</v>
      </c>
      <c r="L160" t="s">
        <v>671</v>
      </c>
      <c r="N160" t="s">
        <v>688</v>
      </c>
      <c r="O160" t="s">
        <v>690</v>
      </c>
      <c r="P160" t="s">
        <v>688</v>
      </c>
      <c r="Q160" t="s">
        <v>688</v>
      </c>
      <c r="S160" t="s">
        <v>700</v>
      </c>
      <c r="T160" t="s">
        <v>704</v>
      </c>
    </row>
    <row r="161" spans="1:20" x14ac:dyDescent="0.2">
      <c r="A161" t="s">
        <v>623</v>
      </c>
      <c r="B161">
        <v>1</v>
      </c>
      <c r="C161" t="s">
        <v>213</v>
      </c>
      <c r="D161" t="s">
        <v>694</v>
      </c>
      <c r="E161" s="3">
        <v>-8.5</v>
      </c>
      <c r="F161" s="3">
        <f>47.5-50.4</f>
        <v>-2.8999999999999986</v>
      </c>
      <c r="G161" s="3">
        <f t="shared" si="3"/>
        <v>-9.9999999999999645E-2</v>
      </c>
      <c r="H161" s="4" t="s">
        <v>719</v>
      </c>
      <c r="I161" s="6" t="s">
        <v>720</v>
      </c>
      <c r="J161" s="6"/>
      <c r="K161" t="s">
        <v>664</v>
      </c>
      <c r="L161" t="s">
        <v>672</v>
      </c>
      <c r="N161" t="s">
        <v>687</v>
      </c>
      <c r="O161" t="s">
        <v>690</v>
      </c>
      <c r="P161" t="s">
        <v>688</v>
      </c>
      <c r="Q161" t="s">
        <v>688</v>
      </c>
      <c r="S161" t="s">
        <v>700</v>
      </c>
      <c r="T161" t="s">
        <v>704</v>
      </c>
    </row>
    <row r="162" spans="1:20" x14ac:dyDescent="0.2">
      <c r="A162" t="s">
        <v>623</v>
      </c>
      <c r="B162">
        <v>2</v>
      </c>
      <c r="C162" t="s">
        <v>214</v>
      </c>
      <c r="D162" t="s">
        <v>694</v>
      </c>
      <c r="E162" s="3">
        <v>-10</v>
      </c>
      <c r="F162" s="3">
        <f>46.8-51.2</f>
        <v>-4.4000000000000057</v>
      </c>
      <c r="G162" s="3">
        <f t="shared" si="3"/>
        <v>-1.5999999999999996</v>
      </c>
      <c r="H162" s="4" t="s">
        <v>721</v>
      </c>
      <c r="I162" s="4" t="s">
        <v>722</v>
      </c>
      <c r="J162" s="4"/>
      <c r="K162" t="s">
        <v>664</v>
      </c>
      <c r="L162" t="s">
        <v>672</v>
      </c>
      <c r="N162" t="s">
        <v>687</v>
      </c>
      <c r="O162" t="s">
        <v>690</v>
      </c>
      <c r="P162" t="s">
        <v>688</v>
      </c>
      <c r="Q162" t="s">
        <v>688</v>
      </c>
      <c r="S162" t="s">
        <v>700</v>
      </c>
      <c r="T162" t="s">
        <v>704</v>
      </c>
    </row>
    <row r="163" spans="1:20" x14ac:dyDescent="0.2">
      <c r="A163" t="s">
        <v>623</v>
      </c>
      <c r="B163">
        <v>3</v>
      </c>
      <c r="C163" t="s">
        <v>215</v>
      </c>
      <c r="D163" t="s">
        <v>694</v>
      </c>
      <c r="E163" s="3">
        <v>-4.4000000000000004</v>
      </c>
      <c r="F163" s="3">
        <f>48.8-49.2</f>
        <v>-0.40000000000000568</v>
      </c>
      <c r="G163" s="3">
        <f t="shared" si="3"/>
        <v>4</v>
      </c>
      <c r="H163" s="4" t="s">
        <v>723</v>
      </c>
      <c r="I163" s="6" t="s">
        <v>215</v>
      </c>
      <c r="J163" s="6"/>
      <c r="K163" t="s">
        <v>664</v>
      </c>
      <c r="L163" t="s">
        <v>672</v>
      </c>
      <c r="N163" t="s">
        <v>687</v>
      </c>
      <c r="O163" t="s">
        <v>690</v>
      </c>
      <c r="P163" t="s">
        <v>688</v>
      </c>
      <c r="Q163" t="s">
        <v>688</v>
      </c>
      <c r="S163" t="s">
        <v>700</v>
      </c>
      <c r="T163" t="s">
        <v>704</v>
      </c>
    </row>
    <row r="164" spans="1:20" x14ac:dyDescent="0.2">
      <c r="A164" t="s">
        <v>623</v>
      </c>
      <c r="B164">
        <v>4</v>
      </c>
      <c r="C164" t="s">
        <v>216</v>
      </c>
      <c r="D164" t="s">
        <v>694</v>
      </c>
      <c r="E164" s="3">
        <v>-31.5</v>
      </c>
      <c r="F164" s="3">
        <f>36.1-62</f>
        <v>-25.9</v>
      </c>
      <c r="G164" s="3">
        <f t="shared" si="3"/>
        <v>-23.1</v>
      </c>
      <c r="H164" s="4" t="s">
        <v>732</v>
      </c>
      <c r="I164" s="4" t="s">
        <v>724</v>
      </c>
      <c r="J164" s="4"/>
      <c r="K164" t="s">
        <v>664</v>
      </c>
      <c r="L164" t="s">
        <v>671</v>
      </c>
      <c r="N164" t="s">
        <v>688</v>
      </c>
      <c r="O164" t="s">
        <v>690</v>
      </c>
      <c r="P164" t="s">
        <v>688</v>
      </c>
      <c r="Q164" t="s">
        <v>688</v>
      </c>
      <c r="S164" t="s">
        <v>700</v>
      </c>
      <c r="T164" t="s">
        <v>704</v>
      </c>
    </row>
    <row r="165" spans="1:20" x14ac:dyDescent="0.2">
      <c r="A165" t="s">
        <v>624</v>
      </c>
      <c r="B165">
        <v>1</v>
      </c>
      <c r="C165" t="s">
        <v>217</v>
      </c>
      <c r="D165" t="s">
        <v>694</v>
      </c>
      <c r="E165" s="3">
        <v>-31.3</v>
      </c>
      <c r="F165" s="3">
        <f>34.1-63.7</f>
        <v>-29.6</v>
      </c>
      <c r="G165" s="3">
        <f t="shared" si="3"/>
        <v>-22.9</v>
      </c>
      <c r="K165" t="s">
        <v>679</v>
      </c>
      <c r="L165" t="s">
        <v>671</v>
      </c>
      <c r="N165" t="s">
        <v>687</v>
      </c>
      <c r="O165" t="s">
        <v>690</v>
      </c>
      <c r="P165" t="s">
        <v>688</v>
      </c>
      <c r="Q165" t="s">
        <v>688</v>
      </c>
      <c r="S165" t="s">
        <v>700</v>
      </c>
      <c r="T165" t="s">
        <v>703</v>
      </c>
    </row>
    <row r="166" spans="1:20" x14ac:dyDescent="0.2">
      <c r="A166" t="s">
        <v>624</v>
      </c>
      <c r="B166">
        <v>2</v>
      </c>
      <c r="C166" t="s">
        <v>218</v>
      </c>
      <c r="D166" t="s">
        <v>694</v>
      </c>
      <c r="E166" s="3">
        <v>-19.7</v>
      </c>
      <c r="F166" s="3">
        <f>40.7-57</f>
        <v>-16.299999999999997</v>
      </c>
      <c r="G166" s="3">
        <f t="shared" si="3"/>
        <v>-11.299999999999999</v>
      </c>
      <c r="K166" t="s">
        <v>679</v>
      </c>
      <c r="L166" t="s">
        <v>672</v>
      </c>
      <c r="N166" t="s">
        <v>687</v>
      </c>
      <c r="O166" t="s">
        <v>689</v>
      </c>
      <c r="P166" t="s">
        <v>688</v>
      </c>
      <c r="Q166" t="s">
        <v>688</v>
      </c>
      <c r="S166" t="s">
        <v>700</v>
      </c>
      <c r="T166" t="s">
        <v>703</v>
      </c>
    </row>
    <row r="167" spans="1:20" x14ac:dyDescent="0.2">
      <c r="A167" t="s">
        <v>624</v>
      </c>
      <c r="B167">
        <v>3</v>
      </c>
      <c r="C167" t="s">
        <v>219</v>
      </c>
      <c r="D167" t="s">
        <v>695</v>
      </c>
      <c r="E167" s="3">
        <v>4.0999999999999996</v>
      </c>
      <c r="F167" s="3">
        <f>51.2-46.7</f>
        <v>4.5</v>
      </c>
      <c r="G167" s="3">
        <f t="shared" si="3"/>
        <v>12.5</v>
      </c>
      <c r="K167" t="s">
        <v>679</v>
      </c>
      <c r="L167" t="s">
        <v>669</v>
      </c>
      <c r="N167" t="s">
        <v>690</v>
      </c>
      <c r="O167" t="s">
        <v>690</v>
      </c>
      <c r="P167" t="s">
        <v>688</v>
      </c>
      <c r="Q167" t="s">
        <v>688</v>
      </c>
      <c r="S167" t="s">
        <v>700</v>
      </c>
      <c r="T167" t="s">
        <v>703</v>
      </c>
    </row>
    <row r="168" spans="1:20" x14ac:dyDescent="0.2">
      <c r="A168" t="s">
        <v>624</v>
      </c>
      <c r="B168">
        <v>4</v>
      </c>
      <c r="C168" t="s">
        <v>220</v>
      </c>
      <c r="D168" t="s">
        <v>694</v>
      </c>
      <c r="E168" s="3">
        <v>-23.3</v>
      </c>
      <c r="F168" s="3">
        <f>38-59.7</f>
        <v>-21.700000000000003</v>
      </c>
      <c r="G168" s="3">
        <f t="shared" si="3"/>
        <v>-14.899999999999999</v>
      </c>
      <c r="K168" t="s">
        <v>679</v>
      </c>
      <c r="L168" t="s">
        <v>671</v>
      </c>
      <c r="N168" t="s">
        <v>687</v>
      </c>
      <c r="O168" t="s">
        <v>689</v>
      </c>
      <c r="P168" t="s">
        <v>688</v>
      </c>
      <c r="Q168" t="s">
        <v>688</v>
      </c>
      <c r="S168" t="s">
        <v>700</v>
      </c>
      <c r="T168" t="s">
        <v>703</v>
      </c>
    </row>
    <row r="169" spans="1:20" x14ac:dyDescent="0.2">
      <c r="A169" t="s">
        <v>625</v>
      </c>
      <c r="B169">
        <v>1</v>
      </c>
      <c r="C169" t="s">
        <v>221</v>
      </c>
      <c r="D169" t="s">
        <v>694</v>
      </c>
      <c r="E169" s="3">
        <v>-47.3</v>
      </c>
      <c r="F169" s="3">
        <f>27.9-70.6</f>
        <v>-42.699999999999996</v>
      </c>
      <c r="G169" s="3">
        <f t="shared" si="3"/>
        <v>-38.9</v>
      </c>
      <c r="H169" s="4" t="s">
        <v>222</v>
      </c>
      <c r="I169" t="s">
        <v>221</v>
      </c>
      <c r="K169" t="s">
        <v>680</v>
      </c>
      <c r="L169" t="s">
        <v>671</v>
      </c>
      <c r="N169" t="s">
        <v>688</v>
      </c>
      <c r="O169" t="s">
        <v>690</v>
      </c>
      <c r="P169" t="s">
        <v>688</v>
      </c>
      <c r="Q169" t="s">
        <v>688</v>
      </c>
      <c r="S169" t="s">
        <v>700</v>
      </c>
      <c r="T169" t="s">
        <v>704</v>
      </c>
    </row>
    <row r="170" spans="1:20" x14ac:dyDescent="0.2">
      <c r="A170" t="s">
        <v>625</v>
      </c>
      <c r="B170">
        <v>2</v>
      </c>
      <c r="C170" t="s">
        <v>223</v>
      </c>
      <c r="D170" t="s">
        <v>694</v>
      </c>
      <c r="E170" s="3">
        <v>-41.3</v>
      </c>
      <c r="F170" s="3">
        <f>30.9-67.4</f>
        <v>-36.500000000000007</v>
      </c>
      <c r="G170" s="3">
        <f t="shared" si="3"/>
        <v>-32.9</v>
      </c>
      <c r="H170" s="4" t="s">
        <v>224</v>
      </c>
      <c r="I170" t="s">
        <v>223</v>
      </c>
      <c r="K170" t="s">
        <v>680</v>
      </c>
      <c r="L170" t="s">
        <v>671</v>
      </c>
      <c r="N170" t="s">
        <v>688</v>
      </c>
      <c r="O170" t="s">
        <v>690</v>
      </c>
      <c r="P170" t="s">
        <v>688</v>
      </c>
      <c r="Q170" t="s">
        <v>688</v>
      </c>
      <c r="S170" t="s">
        <v>700</v>
      </c>
      <c r="T170" t="s">
        <v>704</v>
      </c>
    </row>
    <row r="171" spans="1:20" x14ac:dyDescent="0.2">
      <c r="A171" t="s">
        <v>625</v>
      </c>
      <c r="B171">
        <v>3</v>
      </c>
      <c r="C171" t="s">
        <v>225</v>
      </c>
      <c r="D171" t="s">
        <v>695</v>
      </c>
      <c r="E171" s="3">
        <v>18.899999999999999</v>
      </c>
      <c r="F171" s="3">
        <f>60.2-37.9</f>
        <v>22.300000000000004</v>
      </c>
      <c r="G171" s="3">
        <f t="shared" si="3"/>
        <v>27.299999999999997</v>
      </c>
      <c r="H171" t="s">
        <v>225</v>
      </c>
      <c r="I171" s="4" t="s">
        <v>226</v>
      </c>
      <c r="J171" s="4"/>
      <c r="K171" t="s">
        <v>680</v>
      </c>
      <c r="L171" t="s">
        <v>668</v>
      </c>
      <c r="N171" t="s">
        <v>687</v>
      </c>
      <c r="O171" t="s">
        <v>689</v>
      </c>
      <c r="P171" t="s">
        <v>687</v>
      </c>
      <c r="Q171" t="s">
        <v>688</v>
      </c>
      <c r="S171" t="s">
        <v>700</v>
      </c>
      <c r="T171" t="s">
        <v>704</v>
      </c>
    </row>
    <row r="172" spans="1:20" x14ac:dyDescent="0.2">
      <c r="A172" t="s">
        <v>625</v>
      </c>
      <c r="B172">
        <v>4</v>
      </c>
      <c r="C172" t="s">
        <v>227</v>
      </c>
      <c r="D172" t="s">
        <v>694</v>
      </c>
      <c r="E172" s="3">
        <v>-35.5</v>
      </c>
      <c r="F172" s="3">
        <f>32.7-65.4</f>
        <v>-32.700000000000003</v>
      </c>
      <c r="G172" s="3">
        <f t="shared" si="3"/>
        <v>-27.1</v>
      </c>
      <c r="H172" s="4" t="s">
        <v>228</v>
      </c>
      <c r="I172" s="4" t="s">
        <v>229</v>
      </c>
      <c r="J172" s="4"/>
      <c r="K172" t="s">
        <v>680</v>
      </c>
      <c r="L172" t="s">
        <v>671</v>
      </c>
      <c r="N172" t="s">
        <v>687</v>
      </c>
      <c r="O172" t="s">
        <v>690</v>
      </c>
      <c r="P172" t="s">
        <v>688</v>
      </c>
      <c r="Q172" t="s">
        <v>688</v>
      </c>
      <c r="S172" t="s">
        <v>700</v>
      </c>
      <c r="T172" t="s">
        <v>704</v>
      </c>
    </row>
    <row r="173" spans="1:20" x14ac:dyDescent="0.2">
      <c r="A173" t="s">
        <v>625</v>
      </c>
      <c r="B173">
        <v>5</v>
      </c>
      <c r="C173" t="s">
        <v>230</v>
      </c>
      <c r="D173" t="s">
        <v>694</v>
      </c>
      <c r="E173" s="3">
        <v>-63.9</v>
      </c>
      <c r="F173" s="3">
        <f>19.7-79</f>
        <v>-59.3</v>
      </c>
      <c r="G173" s="3">
        <f t="shared" si="3"/>
        <v>-55.5</v>
      </c>
      <c r="H173" s="4" t="s">
        <v>231</v>
      </c>
      <c r="I173" t="s">
        <v>230</v>
      </c>
      <c r="K173" t="s">
        <v>680</v>
      </c>
      <c r="L173" t="s">
        <v>671</v>
      </c>
      <c r="N173" t="s">
        <v>688</v>
      </c>
      <c r="O173" t="s">
        <v>690</v>
      </c>
      <c r="P173" t="s">
        <v>688</v>
      </c>
      <c r="Q173" t="s">
        <v>688</v>
      </c>
      <c r="S173" t="s">
        <v>700</v>
      </c>
      <c r="T173" t="s">
        <v>704</v>
      </c>
    </row>
    <row r="174" spans="1:20" x14ac:dyDescent="0.2">
      <c r="A174" t="s">
        <v>625</v>
      </c>
      <c r="B174">
        <v>6</v>
      </c>
      <c r="C174" t="s">
        <v>232</v>
      </c>
      <c r="D174" t="s">
        <v>694</v>
      </c>
      <c r="E174" s="3">
        <v>-15</v>
      </c>
      <c r="F174" s="3">
        <f>43.5-54.5</f>
        <v>-11</v>
      </c>
      <c r="G174" s="3">
        <f t="shared" si="3"/>
        <v>-6.6</v>
      </c>
      <c r="H174" s="4" t="s">
        <v>233</v>
      </c>
      <c r="I174" s="4" t="s">
        <v>234</v>
      </c>
      <c r="J174" s="4"/>
      <c r="K174" t="s">
        <v>680</v>
      </c>
      <c r="L174" t="s">
        <v>671</v>
      </c>
      <c r="N174" t="s">
        <v>687</v>
      </c>
      <c r="O174" t="s">
        <v>690</v>
      </c>
      <c r="P174" t="s">
        <v>688</v>
      </c>
      <c r="Q174" t="s">
        <v>688</v>
      </c>
      <c r="S174" t="s">
        <v>700</v>
      </c>
      <c r="T174" t="s">
        <v>704</v>
      </c>
    </row>
    <row r="175" spans="1:20" x14ac:dyDescent="0.2">
      <c r="A175" t="s">
        <v>626</v>
      </c>
      <c r="B175">
        <v>1</v>
      </c>
      <c r="C175" t="s">
        <v>235</v>
      </c>
      <c r="D175" t="s">
        <v>694</v>
      </c>
      <c r="E175" s="3">
        <f>29.9-68.3</f>
        <v>-38.4</v>
      </c>
      <c r="F175" s="3">
        <f>29.5-68.7</f>
        <v>-39.200000000000003</v>
      </c>
      <c r="G175" s="3">
        <f t="shared" si="3"/>
        <v>-30</v>
      </c>
      <c r="K175" t="s">
        <v>674</v>
      </c>
      <c r="L175" t="s">
        <v>670</v>
      </c>
      <c r="S175" t="s">
        <v>700</v>
      </c>
      <c r="T175" t="s">
        <v>703</v>
      </c>
    </row>
    <row r="176" spans="1:20" x14ac:dyDescent="0.2">
      <c r="A176" t="s">
        <v>626</v>
      </c>
      <c r="B176">
        <v>2</v>
      </c>
      <c r="C176" t="s">
        <v>236</v>
      </c>
      <c r="D176" t="s">
        <v>695</v>
      </c>
      <c r="E176" s="3">
        <f>72.8-25.1</f>
        <v>47.699999999999996</v>
      </c>
      <c r="F176" s="3">
        <f>75.3-23</f>
        <v>52.3</v>
      </c>
      <c r="G176" s="3">
        <f t="shared" si="3"/>
        <v>56.099999999999994</v>
      </c>
      <c r="K176" t="s">
        <v>674</v>
      </c>
      <c r="L176" t="s">
        <v>668</v>
      </c>
      <c r="S176" t="s">
        <v>700</v>
      </c>
      <c r="T176" t="s">
        <v>703</v>
      </c>
    </row>
    <row r="177" spans="1:20" x14ac:dyDescent="0.2">
      <c r="A177" t="s">
        <v>626</v>
      </c>
      <c r="B177">
        <v>3</v>
      </c>
      <c r="C177" t="s">
        <v>237</v>
      </c>
      <c r="D177" t="s">
        <v>694</v>
      </c>
      <c r="E177" s="3">
        <f>31.2-67.4</f>
        <v>-36.200000000000003</v>
      </c>
      <c r="F177" s="3">
        <f>33-65.3</f>
        <v>-32.299999999999997</v>
      </c>
      <c r="G177" s="3">
        <f t="shared" si="3"/>
        <v>-27.800000000000004</v>
      </c>
      <c r="K177" t="s">
        <v>674</v>
      </c>
      <c r="L177" t="s">
        <v>671</v>
      </c>
      <c r="S177" t="s">
        <v>700</v>
      </c>
      <c r="T177" t="s">
        <v>703</v>
      </c>
    </row>
    <row r="178" spans="1:20" x14ac:dyDescent="0.2">
      <c r="A178" t="s">
        <v>626</v>
      </c>
      <c r="B178">
        <v>4</v>
      </c>
      <c r="C178" t="s">
        <v>238</v>
      </c>
      <c r="D178" t="s">
        <v>694</v>
      </c>
      <c r="E178" s="3">
        <f>32.3-66.5</f>
        <v>-34.200000000000003</v>
      </c>
      <c r="F178" s="3">
        <f>34.3-64.2</f>
        <v>-29.900000000000006</v>
      </c>
      <c r="G178" s="3">
        <f t="shared" si="3"/>
        <v>-25.800000000000004</v>
      </c>
      <c r="K178" t="s">
        <v>674</v>
      </c>
      <c r="L178" t="s">
        <v>671</v>
      </c>
      <c r="S178" t="s">
        <v>700</v>
      </c>
      <c r="T178" t="s">
        <v>703</v>
      </c>
    </row>
    <row r="179" spans="1:20" x14ac:dyDescent="0.2">
      <c r="A179" t="s">
        <v>626</v>
      </c>
      <c r="B179">
        <v>5</v>
      </c>
      <c r="C179" t="s">
        <v>239</v>
      </c>
      <c r="D179" t="s">
        <v>694</v>
      </c>
      <c r="E179" s="3">
        <f>32.4-66.4</f>
        <v>-34.000000000000007</v>
      </c>
      <c r="F179" s="3">
        <f>34.8-63.8</f>
        <v>-29</v>
      </c>
      <c r="G179" s="3">
        <f t="shared" si="3"/>
        <v>-25.600000000000009</v>
      </c>
      <c r="K179" t="s">
        <v>674</v>
      </c>
      <c r="L179" t="s">
        <v>671</v>
      </c>
      <c r="S179" t="s">
        <v>700</v>
      </c>
      <c r="T179" t="s">
        <v>703</v>
      </c>
    </row>
    <row r="180" spans="1:20" x14ac:dyDescent="0.2">
      <c r="A180" t="s">
        <v>626</v>
      </c>
      <c r="B180">
        <v>6</v>
      </c>
      <c r="C180" t="s">
        <v>240</v>
      </c>
      <c r="D180" t="s">
        <v>695</v>
      </c>
      <c r="E180" s="3">
        <f>33.2-65</f>
        <v>-31.799999999999997</v>
      </c>
      <c r="F180" s="3">
        <f>33-65.1</f>
        <v>-32.099999999999994</v>
      </c>
      <c r="G180" s="3">
        <f t="shared" si="3"/>
        <v>-23.4</v>
      </c>
      <c r="K180" t="s">
        <v>674</v>
      </c>
      <c r="L180" t="s">
        <v>671</v>
      </c>
      <c r="S180" t="s">
        <v>700</v>
      </c>
      <c r="T180" t="s">
        <v>703</v>
      </c>
    </row>
    <row r="181" spans="1:20" x14ac:dyDescent="0.2">
      <c r="A181" t="s">
        <v>627</v>
      </c>
      <c r="B181">
        <v>1</v>
      </c>
      <c r="C181" t="s">
        <v>241</v>
      </c>
      <c r="D181" t="s">
        <v>695</v>
      </c>
      <c r="E181" s="3">
        <v>21.8</v>
      </c>
      <c r="F181" s="3">
        <f>60-37.2</f>
        <v>22.799999999999997</v>
      </c>
      <c r="G181" s="3">
        <f t="shared" si="3"/>
        <v>30.200000000000003</v>
      </c>
      <c r="H181" t="s">
        <v>241</v>
      </c>
      <c r="I181" s="4" t="s">
        <v>806</v>
      </c>
      <c r="K181" t="s">
        <v>663</v>
      </c>
      <c r="L181" t="s">
        <v>668</v>
      </c>
      <c r="N181" t="s">
        <v>689</v>
      </c>
      <c r="O181" t="s">
        <v>690</v>
      </c>
      <c r="P181" t="s">
        <v>688</v>
      </c>
      <c r="Q181" t="s">
        <v>688</v>
      </c>
      <c r="S181" t="s">
        <v>700</v>
      </c>
      <c r="T181" t="s">
        <v>703</v>
      </c>
    </row>
    <row r="182" spans="1:20" x14ac:dyDescent="0.2">
      <c r="A182" t="s">
        <v>627</v>
      </c>
      <c r="B182">
        <v>2</v>
      </c>
      <c r="C182" t="s">
        <v>242</v>
      </c>
      <c r="D182" t="s">
        <v>695</v>
      </c>
      <c r="E182" s="3">
        <v>-9.5</v>
      </c>
      <c r="F182" s="3">
        <f>45.5-51.6</f>
        <v>-6.1000000000000014</v>
      </c>
      <c r="G182" s="3">
        <f t="shared" si="3"/>
        <v>-1.0999999999999996</v>
      </c>
      <c r="H182" s="4" t="s">
        <v>823</v>
      </c>
      <c r="I182" s="4" t="s">
        <v>807</v>
      </c>
      <c r="K182" t="s">
        <v>663</v>
      </c>
      <c r="L182" t="s">
        <v>671</v>
      </c>
      <c r="N182" t="s">
        <v>687</v>
      </c>
      <c r="O182" t="s">
        <v>690</v>
      </c>
      <c r="P182" t="s">
        <v>688</v>
      </c>
      <c r="Q182" t="s">
        <v>688</v>
      </c>
      <c r="S182" t="s">
        <v>700</v>
      </c>
      <c r="T182" t="s">
        <v>703</v>
      </c>
    </row>
    <row r="183" spans="1:20" x14ac:dyDescent="0.2">
      <c r="A183" t="s">
        <v>628</v>
      </c>
      <c r="B183">
        <v>1</v>
      </c>
      <c r="C183" t="s">
        <v>243</v>
      </c>
      <c r="D183" t="s">
        <v>694</v>
      </c>
      <c r="E183" s="3">
        <v>-16.8</v>
      </c>
      <c r="F183" s="3">
        <f>41.5-55.9</f>
        <v>-14.399999999999999</v>
      </c>
      <c r="G183" s="3">
        <f t="shared" si="3"/>
        <v>-8.4</v>
      </c>
      <c r="H183" s="4" t="s">
        <v>875</v>
      </c>
      <c r="I183" t="s">
        <v>243</v>
      </c>
      <c r="K183" t="s">
        <v>676</v>
      </c>
      <c r="L183" t="s">
        <v>671</v>
      </c>
      <c r="N183" t="s">
        <v>687</v>
      </c>
      <c r="O183" t="s">
        <v>689</v>
      </c>
      <c r="P183" t="s">
        <v>687</v>
      </c>
      <c r="Q183" t="s">
        <v>688</v>
      </c>
      <c r="S183" t="s">
        <v>700</v>
      </c>
      <c r="T183" t="s">
        <v>703</v>
      </c>
    </row>
    <row r="184" spans="1:20" x14ac:dyDescent="0.2">
      <c r="A184" t="s">
        <v>628</v>
      </c>
      <c r="B184">
        <v>2</v>
      </c>
      <c r="C184" t="s">
        <v>244</v>
      </c>
      <c r="D184" t="s">
        <v>695</v>
      </c>
      <c r="E184" s="3">
        <v>18.3</v>
      </c>
      <c r="F184" s="3">
        <f>58.9-38.3</f>
        <v>20.6</v>
      </c>
      <c r="G184" s="3">
        <f t="shared" si="3"/>
        <v>26.700000000000003</v>
      </c>
      <c r="H184" t="s">
        <v>244</v>
      </c>
      <c r="I184" s="4" t="s">
        <v>862</v>
      </c>
      <c r="K184" t="s">
        <v>676</v>
      </c>
      <c r="L184" t="s">
        <v>672</v>
      </c>
      <c r="N184" t="s">
        <v>689</v>
      </c>
      <c r="O184" t="s">
        <v>689</v>
      </c>
      <c r="P184" t="s">
        <v>687</v>
      </c>
      <c r="Q184" t="s">
        <v>688</v>
      </c>
      <c r="S184" t="s">
        <v>700</v>
      </c>
      <c r="T184" t="s">
        <v>703</v>
      </c>
    </row>
    <row r="185" spans="1:20" x14ac:dyDescent="0.2">
      <c r="A185" t="s">
        <v>628</v>
      </c>
      <c r="B185">
        <v>3</v>
      </c>
      <c r="C185" t="s">
        <v>245</v>
      </c>
      <c r="D185" t="s">
        <v>695</v>
      </c>
      <c r="E185" s="3">
        <v>23.5</v>
      </c>
      <c r="F185" s="3">
        <f>61.2-35.9</f>
        <v>25.300000000000004</v>
      </c>
      <c r="G185" s="3">
        <f t="shared" si="3"/>
        <v>31.9</v>
      </c>
      <c r="H185" t="s">
        <v>245</v>
      </c>
      <c r="I185" s="4" t="s">
        <v>863</v>
      </c>
      <c r="K185" t="s">
        <v>676</v>
      </c>
      <c r="L185" t="s">
        <v>672</v>
      </c>
      <c r="N185" t="s">
        <v>690</v>
      </c>
      <c r="O185" t="s">
        <v>687</v>
      </c>
      <c r="P185" t="s">
        <v>687</v>
      </c>
      <c r="Q185" t="s">
        <v>688</v>
      </c>
      <c r="S185" t="s">
        <v>700</v>
      </c>
      <c r="T185" t="s">
        <v>703</v>
      </c>
    </row>
    <row r="186" spans="1:20" x14ac:dyDescent="0.2">
      <c r="A186" t="s">
        <v>628</v>
      </c>
      <c r="B186">
        <v>4</v>
      </c>
      <c r="C186" t="s">
        <v>246</v>
      </c>
      <c r="D186" t="s">
        <v>695</v>
      </c>
      <c r="E186" s="3">
        <v>73.2</v>
      </c>
      <c r="F186" s="3">
        <f>89.2-8.6</f>
        <v>80.600000000000009</v>
      </c>
      <c r="G186" s="3">
        <f t="shared" si="3"/>
        <v>81.600000000000009</v>
      </c>
      <c r="H186" t="s">
        <v>246</v>
      </c>
      <c r="I186" s="4" t="s">
        <v>864</v>
      </c>
      <c r="K186" t="s">
        <v>676</v>
      </c>
      <c r="L186" t="s">
        <v>668</v>
      </c>
      <c r="N186" t="s">
        <v>687</v>
      </c>
      <c r="O186" t="s">
        <v>688</v>
      </c>
      <c r="P186" t="s">
        <v>690</v>
      </c>
      <c r="Q186" t="s">
        <v>687</v>
      </c>
      <c r="S186" t="s">
        <v>700</v>
      </c>
      <c r="T186" t="s">
        <v>703</v>
      </c>
    </row>
    <row r="187" spans="1:20" x14ac:dyDescent="0.2">
      <c r="A187" t="s">
        <v>628</v>
      </c>
      <c r="B187">
        <v>5</v>
      </c>
      <c r="C187" t="s">
        <v>247</v>
      </c>
      <c r="D187" t="s">
        <v>695</v>
      </c>
      <c r="E187" s="3">
        <v>33.1</v>
      </c>
      <c r="F187" s="3">
        <f>67-30.7</f>
        <v>36.299999999999997</v>
      </c>
      <c r="G187" s="3">
        <f t="shared" si="3"/>
        <v>41.5</v>
      </c>
      <c r="H187" s="4" t="s">
        <v>865</v>
      </c>
      <c r="I187" s="4" t="s">
        <v>866</v>
      </c>
      <c r="K187" t="s">
        <v>676</v>
      </c>
      <c r="L187" t="s">
        <v>672</v>
      </c>
      <c r="N187" t="s">
        <v>689</v>
      </c>
      <c r="O187" t="s">
        <v>687</v>
      </c>
      <c r="P187" t="s">
        <v>689</v>
      </c>
      <c r="Q187" t="s">
        <v>688</v>
      </c>
      <c r="S187" t="s">
        <v>700</v>
      </c>
      <c r="T187" t="s">
        <v>703</v>
      </c>
    </row>
    <row r="188" spans="1:20" x14ac:dyDescent="0.2">
      <c r="A188" t="s">
        <v>628</v>
      </c>
      <c r="B188">
        <v>6</v>
      </c>
      <c r="C188" t="s">
        <v>248</v>
      </c>
      <c r="D188" t="s">
        <v>695</v>
      </c>
      <c r="E188" s="3">
        <v>5.7</v>
      </c>
      <c r="F188" s="3">
        <f>53.6-43.8</f>
        <v>9.8000000000000043</v>
      </c>
      <c r="G188" s="3">
        <f t="shared" si="3"/>
        <v>14.100000000000001</v>
      </c>
      <c r="H188" t="s">
        <v>248</v>
      </c>
      <c r="I188" s="4" t="s">
        <v>867</v>
      </c>
      <c r="K188" t="s">
        <v>676</v>
      </c>
      <c r="L188" t="s">
        <v>672</v>
      </c>
      <c r="N188" t="s">
        <v>689</v>
      </c>
      <c r="O188" t="s">
        <v>689</v>
      </c>
      <c r="P188" t="s">
        <v>687</v>
      </c>
      <c r="Q188" t="s">
        <v>688</v>
      </c>
      <c r="S188" t="s">
        <v>700</v>
      </c>
      <c r="T188" t="s">
        <v>703</v>
      </c>
    </row>
    <row r="189" spans="1:20" x14ac:dyDescent="0.2">
      <c r="A189" t="s">
        <v>628</v>
      </c>
      <c r="B189">
        <v>7</v>
      </c>
      <c r="C189" t="s">
        <v>249</v>
      </c>
      <c r="D189" t="s">
        <v>695</v>
      </c>
      <c r="E189" s="3">
        <v>58.6</v>
      </c>
      <c r="F189" s="3">
        <f>80.5-17.4</f>
        <v>63.1</v>
      </c>
      <c r="G189" s="3">
        <f t="shared" si="3"/>
        <v>67</v>
      </c>
      <c r="H189" t="s">
        <v>249</v>
      </c>
      <c r="I189" s="4" t="s">
        <v>868</v>
      </c>
      <c r="K189" t="s">
        <v>676</v>
      </c>
      <c r="L189" t="s">
        <v>668</v>
      </c>
      <c r="N189" t="s">
        <v>687</v>
      </c>
      <c r="O189" t="s">
        <v>688</v>
      </c>
      <c r="P189" t="s">
        <v>690</v>
      </c>
      <c r="Q189" t="s">
        <v>688</v>
      </c>
      <c r="S189" t="s">
        <v>700</v>
      </c>
      <c r="T189" t="s">
        <v>703</v>
      </c>
    </row>
    <row r="190" spans="1:20" x14ac:dyDescent="0.2">
      <c r="A190" t="s">
        <v>628</v>
      </c>
      <c r="B190">
        <v>8</v>
      </c>
      <c r="C190" t="s">
        <v>250</v>
      </c>
      <c r="D190" t="s">
        <v>695</v>
      </c>
      <c r="E190" s="3">
        <v>55.8</v>
      </c>
      <c r="F190" s="3">
        <f>79.9-17.8</f>
        <v>62.100000000000009</v>
      </c>
      <c r="G190" s="3">
        <f t="shared" si="3"/>
        <v>64.199999999999989</v>
      </c>
      <c r="H190" t="s">
        <v>250</v>
      </c>
      <c r="I190" s="4" t="s">
        <v>869</v>
      </c>
      <c r="K190" t="s">
        <v>676</v>
      </c>
      <c r="L190" t="s">
        <v>669</v>
      </c>
      <c r="N190" t="s">
        <v>690</v>
      </c>
      <c r="O190" t="s">
        <v>687</v>
      </c>
      <c r="P190" t="s">
        <v>687</v>
      </c>
      <c r="Q190" t="s">
        <v>687</v>
      </c>
      <c r="S190" t="s">
        <v>700</v>
      </c>
      <c r="T190" t="s">
        <v>703</v>
      </c>
    </row>
    <row r="191" spans="1:20" x14ac:dyDescent="0.2">
      <c r="A191" t="s">
        <v>629</v>
      </c>
      <c r="B191">
        <v>1</v>
      </c>
      <c r="C191" t="s">
        <v>251</v>
      </c>
      <c r="D191" t="s">
        <v>695</v>
      </c>
      <c r="E191" s="3">
        <v>13.8</v>
      </c>
      <c r="F191" s="3">
        <f>59.6-38</f>
        <v>21.6</v>
      </c>
      <c r="G191" s="3">
        <f t="shared" si="3"/>
        <v>22.200000000000003</v>
      </c>
      <c r="K191" t="s">
        <v>663</v>
      </c>
      <c r="L191" t="s">
        <v>672</v>
      </c>
      <c r="N191" t="s">
        <v>687</v>
      </c>
      <c r="O191" t="s">
        <v>689</v>
      </c>
      <c r="P191" t="s">
        <v>688</v>
      </c>
      <c r="Q191" t="s">
        <v>687</v>
      </c>
      <c r="S191" t="s">
        <v>700</v>
      </c>
      <c r="T191" t="s">
        <v>703</v>
      </c>
    </row>
    <row r="192" spans="1:20" x14ac:dyDescent="0.2">
      <c r="A192" t="s">
        <v>629</v>
      </c>
      <c r="B192">
        <v>2</v>
      </c>
      <c r="C192" t="s">
        <v>692</v>
      </c>
      <c r="D192" t="s">
        <v>695</v>
      </c>
      <c r="E192" s="3">
        <v>23.6</v>
      </c>
      <c r="F192" s="3">
        <f>64-33.3</f>
        <v>30.700000000000003</v>
      </c>
      <c r="G192" s="3">
        <f t="shared" si="3"/>
        <v>32</v>
      </c>
      <c r="K192" t="s">
        <v>663</v>
      </c>
      <c r="L192" t="s">
        <v>672</v>
      </c>
      <c r="N192" t="s">
        <v>689</v>
      </c>
      <c r="O192" t="s">
        <v>689</v>
      </c>
      <c r="P192" t="s">
        <v>688</v>
      </c>
      <c r="Q192" t="s">
        <v>688</v>
      </c>
      <c r="S192" t="s">
        <v>700</v>
      </c>
      <c r="T192" t="s">
        <v>703</v>
      </c>
    </row>
    <row r="193" spans="1:20" x14ac:dyDescent="0.2">
      <c r="A193" t="s">
        <v>629</v>
      </c>
      <c r="B193">
        <v>3</v>
      </c>
      <c r="C193" t="s">
        <v>252</v>
      </c>
      <c r="D193" t="s">
        <v>695</v>
      </c>
      <c r="E193" s="3">
        <v>18.8</v>
      </c>
      <c r="F193" s="3">
        <f>62.4-35.1</f>
        <v>27.299999999999997</v>
      </c>
      <c r="G193" s="3">
        <f t="shared" si="3"/>
        <v>27.200000000000003</v>
      </c>
      <c r="K193" t="s">
        <v>663</v>
      </c>
      <c r="L193" t="s">
        <v>672</v>
      </c>
      <c r="N193" t="s">
        <v>689</v>
      </c>
      <c r="O193" t="s">
        <v>689</v>
      </c>
      <c r="P193" t="s">
        <v>688</v>
      </c>
      <c r="Q193" t="s">
        <v>687</v>
      </c>
      <c r="S193" t="s">
        <v>700</v>
      </c>
      <c r="T193" t="s">
        <v>703</v>
      </c>
    </row>
    <row r="194" spans="1:20" x14ac:dyDescent="0.2">
      <c r="A194" t="s">
        <v>629</v>
      </c>
      <c r="B194">
        <v>4</v>
      </c>
      <c r="C194" t="s">
        <v>253</v>
      </c>
      <c r="D194" t="s">
        <v>695</v>
      </c>
      <c r="E194" s="3">
        <v>19.600000000000001</v>
      </c>
      <c r="F194" s="3">
        <f>63-34.7</f>
        <v>28.299999999999997</v>
      </c>
      <c r="G194" s="3">
        <f t="shared" ref="G194:G257" si="4">E194+6.9+1.5</f>
        <v>28</v>
      </c>
      <c r="K194" t="s">
        <v>663</v>
      </c>
      <c r="L194" t="s">
        <v>672</v>
      </c>
      <c r="N194" t="s">
        <v>689</v>
      </c>
      <c r="O194" t="s">
        <v>690</v>
      </c>
      <c r="P194" t="s">
        <v>688</v>
      </c>
      <c r="Q194" t="s">
        <v>688</v>
      </c>
      <c r="S194" t="s">
        <v>700</v>
      </c>
      <c r="T194" t="s">
        <v>703</v>
      </c>
    </row>
    <row r="195" spans="1:20" x14ac:dyDescent="0.2">
      <c r="A195" t="s">
        <v>629</v>
      </c>
      <c r="B195">
        <v>5</v>
      </c>
      <c r="C195" t="s">
        <v>254</v>
      </c>
      <c r="D195" t="s">
        <v>695</v>
      </c>
      <c r="E195" s="3">
        <v>44.9</v>
      </c>
      <c r="F195" s="3">
        <f>74.4-23.5</f>
        <v>50.900000000000006</v>
      </c>
      <c r="G195" s="3">
        <f t="shared" si="4"/>
        <v>53.3</v>
      </c>
      <c r="K195" t="s">
        <v>663</v>
      </c>
      <c r="L195" t="s">
        <v>672</v>
      </c>
      <c r="N195" t="s">
        <v>690</v>
      </c>
      <c r="O195" t="s">
        <v>689</v>
      </c>
      <c r="P195" t="s">
        <v>688</v>
      </c>
      <c r="Q195" t="s">
        <v>688</v>
      </c>
      <c r="S195" t="s">
        <v>700</v>
      </c>
      <c r="T195" t="s">
        <v>703</v>
      </c>
    </row>
    <row r="196" spans="1:20" x14ac:dyDescent="0.2">
      <c r="A196" t="s">
        <v>629</v>
      </c>
      <c r="B196">
        <v>6</v>
      </c>
      <c r="C196" t="s">
        <v>255</v>
      </c>
      <c r="D196" t="s">
        <v>695</v>
      </c>
      <c r="E196" s="3">
        <v>20.6</v>
      </c>
      <c r="F196" s="3">
        <f>62.6-35.2</f>
        <v>27.4</v>
      </c>
      <c r="G196" s="3">
        <f t="shared" si="4"/>
        <v>29</v>
      </c>
      <c r="K196" t="s">
        <v>663</v>
      </c>
      <c r="L196" t="s">
        <v>669</v>
      </c>
      <c r="N196" t="s">
        <v>690</v>
      </c>
      <c r="O196" t="s">
        <v>690</v>
      </c>
      <c r="P196" t="s">
        <v>688</v>
      </c>
      <c r="Q196" t="s">
        <v>688</v>
      </c>
      <c r="S196" t="s">
        <v>700</v>
      </c>
      <c r="T196" t="s">
        <v>703</v>
      </c>
    </row>
    <row r="197" spans="1:20" x14ac:dyDescent="0.2">
      <c r="A197" t="s">
        <v>629</v>
      </c>
      <c r="B197">
        <v>7</v>
      </c>
      <c r="C197" t="s">
        <v>256</v>
      </c>
      <c r="D197" t="s">
        <v>695</v>
      </c>
      <c r="E197" s="3">
        <v>62.7</v>
      </c>
      <c r="F197" s="3">
        <f>85.2-13</f>
        <v>72.2</v>
      </c>
      <c r="G197" s="3">
        <f t="shared" si="4"/>
        <v>71.100000000000009</v>
      </c>
      <c r="K197" t="s">
        <v>663</v>
      </c>
      <c r="L197" t="s">
        <v>668</v>
      </c>
      <c r="N197" t="s">
        <v>689</v>
      </c>
      <c r="O197" t="s">
        <v>688</v>
      </c>
      <c r="P197" t="s">
        <v>687</v>
      </c>
      <c r="Q197" t="s">
        <v>687</v>
      </c>
      <c r="S197" t="s">
        <v>700</v>
      </c>
      <c r="T197" t="s">
        <v>703</v>
      </c>
    </row>
    <row r="198" spans="1:20" x14ac:dyDescent="0.2">
      <c r="A198" t="s">
        <v>629</v>
      </c>
      <c r="B198">
        <v>8</v>
      </c>
      <c r="C198" t="s">
        <v>257</v>
      </c>
      <c r="D198" t="s">
        <v>695</v>
      </c>
      <c r="E198" s="3">
        <v>26.2</v>
      </c>
      <c r="F198" s="3">
        <f>66.6-31.3</f>
        <v>35.299999999999997</v>
      </c>
      <c r="G198" s="3">
        <f t="shared" si="4"/>
        <v>34.6</v>
      </c>
      <c r="K198" t="s">
        <v>663</v>
      </c>
      <c r="L198" t="s">
        <v>669</v>
      </c>
      <c r="N198" t="s">
        <v>690</v>
      </c>
      <c r="O198" t="s">
        <v>689</v>
      </c>
      <c r="P198" t="s">
        <v>687</v>
      </c>
      <c r="Q198" t="s">
        <v>688</v>
      </c>
      <c r="S198" t="s">
        <v>700</v>
      </c>
      <c r="T198" t="s">
        <v>703</v>
      </c>
    </row>
    <row r="199" spans="1:20" x14ac:dyDescent="0.2">
      <c r="A199" t="s">
        <v>629</v>
      </c>
      <c r="B199">
        <v>9</v>
      </c>
      <c r="C199" t="s">
        <v>258</v>
      </c>
      <c r="D199" t="s">
        <v>695</v>
      </c>
      <c r="E199" s="3">
        <v>10.7</v>
      </c>
      <c r="F199" s="3">
        <f>58-39.9</f>
        <v>18.100000000000001</v>
      </c>
      <c r="G199" s="3">
        <f t="shared" si="4"/>
        <v>19.100000000000001</v>
      </c>
      <c r="K199" t="s">
        <v>663</v>
      </c>
      <c r="L199" t="s">
        <v>669</v>
      </c>
      <c r="N199" t="s">
        <v>689</v>
      </c>
      <c r="O199" t="s">
        <v>690</v>
      </c>
      <c r="P199" t="s">
        <v>688</v>
      </c>
      <c r="Q199" t="s">
        <v>688</v>
      </c>
      <c r="S199" t="s">
        <v>700</v>
      </c>
      <c r="T199" t="s">
        <v>703</v>
      </c>
    </row>
    <row r="200" spans="1:20" x14ac:dyDescent="0.2">
      <c r="A200" t="s">
        <v>630</v>
      </c>
      <c r="B200">
        <v>1</v>
      </c>
      <c r="C200" t="s">
        <v>259</v>
      </c>
      <c r="D200" t="s">
        <v>694</v>
      </c>
      <c r="E200" s="3">
        <v>-21.2</v>
      </c>
      <c r="F200" s="3">
        <f>39.3-59.1</f>
        <v>-19.800000000000004</v>
      </c>
      <c r="G200" s="3">
        <f t="shared" si="4"/>
        <v>-12.799999999999999</v>
      </c>
      <c r="K200" t="s">
        <v>664</v>
      </c>
      <c r="L200" t="s">
        <v>671</v>
      </c>
      <c r="N200" t="s">
        <v>687</v>
      </c>
      <c r="O200" t="s">
        <v>690</v>
      </c>
      <c r="P200" t="s">
        <v>688</v>
      </c>
      <c r="Q200" t="s">
        <v>688</v>
      </c>
      <c r="S200" t="s">
        <v>700</v>
      </c>
      <c r="T200" t="s">
        <v>703</v>
      </c>
    </row>
    <row r="201" spans="1:20" x14ac:dyDescent="0.2">
      <c r="A201" t="s">
        <v>630</v>
      </c>
      <c r="B201">
        <v>2</v>
      </c>
      <c r="C201" t="s">
        <v>260</v>
      </c>
      <c r="D201" t="s">
        <v>694</v>
      </c>
      <c r="E201" s="3">
        <v>-29.9</v>
      </c>
      <c r="F201" s="3">
        <f>35-63.2</f>
        <v>-28.200000000000003</v>
      </c>
      <c r="G201" s="3">
        <f t="shared" si="4"/>
        <v>-21.5</v>
      </c>
      <c r="K201" t="s">
        <v>664</v>
      </c>
      <c r="L201" t="s">
        <v>671</v>
      </c>
      <c r="N201" t="s">
        <v>688</v>
      </c>
      <c r="O201" t="s">
        <v>690</v>
      </c>
      <c r="P201" t="s">
        <v>688</v>
      </c>
      <c r="Q201" t="s">
        <v>688</v>
      </c>
      <c r="S201" t="s">
        <v>700</v>
      </c>
      <c r="T201" t="s">
        <v>703</v>
      </c>
    </row>
    <row r="202" spans="1:20" x14ac:dyDescent="0.2">
      <c r="A202" t="s">
        <v>630</v>
      </c>
      <c r="B202">
        <v>3</v>
      </c>
      <c r="C202" t="s">
        <v>261</v>
      </c>
      <c r="D202" t="s">
        <v>695</v>
      </c>
      <c r="E202" s="3">
        <v>7.8</v>
      </c>
      <c r="F202" s="3">
        <f>53.3-44.8</f>
        <v>8.5</v>
      </c>
      <c r="G202" s="3">
        <f t="shared" si="4"/>
        <v>16.2</v>
      </c>
      <c r="K202" t="s">
        <v>664</v>
      </c>
      <c r="L202" t="s">
        <v>669</v>
      </c>
      <c r="N202" t="s">
        <v>689</v>
      </c>
      <c r="O202" t="s">
        <v>689</v>
      </c>
      <c r="P202" t="s">
        <v>687</v>
      </c>
      <c r="Q202" t="s">
        <v>688</v>
      </c>
      <c r="S202" t="s">
        <v>700</v>
      </c>
      <c r="T202" t="s">
        <v>703</v>
      </c>
    </row>
    <row r="203" spans="1:20" x14ac:dyDescent="0.2">
      <c r="A203" t="s">
        <v>630</v>
      </c>
      <c r="B203">
        <v>4</v>
      </c>
      <c r="C203" t="s">
        <v>262</v>
      </c>
      <c r="D203" t="s">
        <v>694</v>
      </c>
      <c r="E203" s="3">
        <v>-5.7</v>
      </c>
      <c r="F203" s="3">
        <f>47.1-51.1</f>
        <v>-4</v>
      </c>
      <c r="G203" s="3">
        <f t="shared" si="4"/>
        <v>2.7</v>
      </c>
      <c r="K203" t="s">
        <v>664</v>
      </c>
      <c r="L203" t="s">
        <v>672</v>
      </c>
      <c r="N203" t="s">
        <v>687</v>
      </c>
      <c r="O203" t="s">
        <v>690</v>
      </c>
      <c r="P203" t="s">
        <v>688</v>
      </c>
      <c r="Q203" t="s">
        <v>688</v>
      </c>
      <c r="S203" t="s">
        <v>700</v>
      </c>
      <c r="T203" t="s">
        <v>703</v>
      </c>
    </row>
    <row r="204" spans="1:20" x14ac:dyDescent="0.2">
      <c r="A204" t="s">
        <v>630</v>
      </c>
      <c r="B204">
        <v>5</v>
      </c>
      <c r="C204" t="s">
        <v>263</v>
      </c>
      <c r="D204" t="s">
        <v>694</v>
      </c>
      <c r="E204" s="3">
        <v>-27.1</v>
      </c>
      <c r="F204" s="3">
        <f>37.1-61.2</f>
        <v>-24.1</v>
      </c>
      <c r="G204" s="3">
        <f t="shared" si="4"/>
        <v>-18.700000000000003</v>
      </c>
      <c r="K204" t="s">
        <v>664</v>
      </c>
      <c r="L204" t="s">
        <v>672</v>
      </c>
      <c r="N204" t="s">
        <v>688</v>
      </c>
      <c r="O204" t="s">
        <v>690</v>
      </c>
      <c r="P204" t="s">
        <v>688</v>
      </c>
      <c r="Q204" t="s">
        <v>688</v>
      </c>
      <c r="S204" t="s">
        <v>700</v>
      </c>
      <c r="T204" t="s">
        <v>703</v>
      </c>
    </row>
    <row r="205" spans="1:20" x14ac:dyDescent="0.2">
      <c r="A205" t="s">
        <v>630</v>
      </c>
      <c r="B205">
        <v>6</v>
      </c>
      <c r="C205" t="s">
        <v>264</v>
      </c>
      <c r="D205" t="s">
        <v>695</v>
      </c>
      <c r="E205" s="3">
        <v>23.2</v>
      </c>
      <c r="F205" s="3">
        <f>62.7-36</f>
        <v>26.700000000000003</v>
      </c>
      <c r="G205" s="3">
        <f t="shared" si="4"/>
        <v>31.6</v>
      </c>
      <c r="K205" t="s">
        <v>664</v>
      </c>
      <c r="L205" t="s">
        <v>672</v>
      </c>
      <c r="N205" t="s">
        <v>690</v>
      </c>
      <c r="O205" t="s">
        <v>689</v>
      </c>
      <c r="P205" t="s">
        <v>687</v>
      </c>
      <c r="Q205" t="s">
        <v>688</v>
      </c>
      <c r="S205" t="s">
        <v>700</v>
      </c>
      <c r="T205" t="s">
        <v>703</v>
      </c>
    </row>
    <row r="206" spans="1:20" x14ac:dyDescent="0.2">
      <c r="A206" t="s">
        <v>630</v>
      </c>
      <c r="B206">
        <v>7</v>
      </c>
      <c r="C206" t="s">
        <v>265</v>
      </c>
      <c r="D206" t="s">
        <v>694</v>
      </c>
      <c r="E206" s="3">
        <v>-1.3</v>
      </c>
      <c r="F206" s="3">
        <f>49.6-48.7</f>
        <v>0.89999999999999858</v>
      </c>
      <c r="G206" s="3">
        <f t="shared" si="4"/>
        <v>7.1000000000000005</v>
      </c>
      <c r="K206" t="s">
        <v>664</v>
      </c>
      <c r="L206" t="s">
        <v>669</v>
      </c>
      <c r="N206" t="s">
        <v>689</v>
      </c>
      <c r="O206" t="s">
        <v>690</v>
      </c>
      <c r="P206" t="s">
        <v>688</v>
      </c>
      <c r="Q206" t="s">
        <v>688</v>
      </c>
      <c r="S206" t="s">
        <v>700</v>
      </c>
      <c r="T206" t="s">
        <v>703</v>
      </c>
    </row>
    <row r="207" spans="1:20" x14ac:dyDescent="0.2">
      <c r="A207" t="s">
        <v>630</v>
      </c>
      <c r="B207">
        <v>8</v>
      </c>
      <c r="C207" t="s">
        <v>266</v>
      </c>
      <c r="D207" t="s">
        <v>695</v>
      </c>
      <c r="E207" s="3">
        <v>-2</v>
      </c>
      <c r="F207" s="3">
        <f>50.3-48.2</f>
        <v>2.0999999999999943</v>
      </c>
      <c r="G207" s="3">
        <f t="shared" si="4"/>
        <v>6.4</v>
      </c>
      <c r="K207" t="s">
        <v>664</v>
      </c>
      <c r="L207" t="s">
        <v>669</v>
      </c>
      <c r="N207" t="s">
        <v>688</v>
      </c>
      <c r="O207" t="s">
        <v>690</v>
      </c>
      <c r="P207" t="s">
        <v>687</v>
      </c>
      <c r="Q207" t="s">
        <v>688</v>
      </c>
      <c r="S207" t="s">
        <v>700</v>
      </c>
      <c r="T207" t="s">
        <v>703</v>
      </c>
    </row>
    <row r="208" spans="1:20" x14ac:dyDescent="0.2">
      <c r="A208" t="s">
        <v>630</v>
      </c>
      <c r="B208">
        <v>9</v>
      </c>
      <c r="C208" t="s">
        <v>267</v>
      </c>
      <c r="D208" t="s">
        <v>694</v>
      </c>
      <c r="E208" s="3">
        <v>-32.299999999999997</v>
      </c>
      <c r="F208" s="3">
        <f>34.6-64</f>
        <v>-29.4</v>
      </c>
      <c r="G208" s="3">
        <f t="shared" si="4"/>
        <v>-23.9</v>
      </c>
      <c r="K208" t="s">
        <v>664</v>
      </c>
      <c r="L208" t="s">
        <v>671</v>
      </c>
      <c r="N208" t="s">
        <v>687</v>
      </c>
      <c r="O208" t="s">
        <v>690</v>
      </c>
      <c r="P208" t="s">
        <v>688</v>
      </c>
      <c r="Q208" t="s">
        <v>688</v>
      </c>
      <c r="S208" t="s">
        <v>700</v>
      </c>
      <c r="T208" t="s">
        <v>703</v>
      </c>
    </row>
    <row r="209" spans="1:20" x14ac:dyDescent="0.2">
      <c r="A209" t="s">
        <v>630</v>
      </c>
      <c r="B209">
        <v>10</v>
      </c>
      <c r="C209" t="s">
        <v>268</v>
      </c>
      <c r="D209" t="s">
        <v>694</v>
      </c>
      <c r="E209" s="3">
        <v>-6.5</v>
      </c>
      <c r="F209" s="3">
        <f>48.8-49.8</f>
        <v>-1</v>
      </c>
      <c r="G209" s="3">
        <f t="shared" si="4"/>
        <v>1.9000000000000004</v>
      </c>
      <c r="K209" t="s">
        <v>664</v>
      </c>
      <c r="L209" t="s">
        <v>672</v>
      </c>
      <c r="N209" t="s">
        <v>687</v>
      </c>
      <c r="O209" t="s">
        <v>689</v>
      </c>
      <c r="P209" t="s">
        <v>687</v>
      </c>
      <c r="Q209" t="s">
        <v>688</v>
      </c>
      <c r="S209" t="s">
        <v>700</v>
      </c>
      <c r="T209" t="s">
        <v>703</v>
      </c>
    </row>
    <row r="210" spans="1:20" x14ac:dyDescent="0.2">
      <c r="A210" t="s">
        <v>630</v>
      </c>
      <c r="B210">
        <v>11</v>
      </c>
      <c r="C210" t="s">
        <v>269</v>
      </c>
      <c r="D210" t="s">
        <v>695</v>
      </c>
      <c r="E210" s="3">
        <v>16.100000000000001</v>
      </c>
      <c r="F210" s="3">
        <f>59.3-39.4</f>
        <v>19.899999999999999</v>
      </c>
      <c r="G210" s="3">
        <f t="shared" si="4"/>
        <v>24.5</v>
      </c>
      <c r="K210" t="s">
        <v>664</v>
      </c>
      <c r="L210" t="s">
        <v>672</v>
      </c>
      <c r="N210" t="s">
        <v>687</v>
      </c>
      <c r="O210" t="s">
        <v>689</v>
      </c>
      <c r="P210" t="s">
        <v>687</v>
      </c>
      <c r="Q210" t="s">
        <v>688</v>
      </c>
      <c r="S210" t="s">
        <v>700</v>
      </c>
      <c r="T210" t="s">
        <v>703</v>
      </c>
    </row>
    <row r="211" spans="1:20" x14ac:dyDescent="0.2">
      <c r="A211" t="s">
        <v>630</v>
      </c>
      <c r="B211">
        <v>12</v>
      </c>
      <c r="C211" t="s">
        <v>270</v>
      </c>
      <c r="D211" t="s">
        <v>695</v>
      </c>
      <c r="E211" s="3">
        <v>37.700000000000003</v>
      </c>
      <c r="F211" s="3">
        <f>73.7-25.2</f>
        <v>48.5</v>
      </c>
      <c r="G211" s="3">
        <f t="shared" si="4"/>
        <v>46.1</v>
      </c>
      <c r="K211" t="s">
        <v>664</v>
      </c>
      <c r="L211" t="s">
        <v>668</v>
      </c>
      <c r="N211" t="s">
        <v>687</v>
      </c>
      <c r="O211" t="s">
        <v>687</v>
      </c>
      <c r="P211" t="s">
        <v>690</v>
      </c>
      <c r="Q211" t="s">
        <v>688</v>
      </c>
      <c r="S211" t="s">
        <v>700</v>
      </c>
      <c r="T211" t="s">
        <v>703</v>
      </c>
    </row>
    <row r="212" spans="1:20" x14ac:dyDescent="0.2">
      <c r="A212" t="s">
        <v>630</v>
      </c>
      <c r="B212">
        <v>13</v>
      </c>
      <c r="C212" t="s">
        <v>271</v>
      </c>
      <c r="D212" t="s">
        <v>695</v>
      </c>
      <c r="E212" s="3">
        <v>41.4</v>
      </c>
      <c r="F212" s="3">
        <f>74.2-24.6</f>
        <v>49.6</v>
      </c>
      <c r="G212" s="3">
        <f t="shared" si="4"/>
        <v>49.8</v>
      </c>
      <c r="K212" t="s">
        <v>664</v>
      </c>
      <c r="L212" t="s">
        <v>668</v>
      </c>
      <c r="N212" t="s">
        <v>688</v>
      </c>
      <c r="O212" t="s">
        <v>688</v>
      </c>
      <c r="P212" t="s">
        <v>690</v>
      </c>
      <c r="Q212" t="s">
        <v>688</v>
      </c>
      <c r="S212" t="s">
        <v>700</v>
      </c>
      <c r="T212" t="s">
        <v>703</v>
      </c>
    </row>
    <row r="213" spans="1:20" x14ac:dyDescent="0.2">
      <c r="A213" t="s">
        <v>631</v>
      </c>
      <c r="B213">
        <v>1</v>
      </c>
      <c r="C213" t="s">
        <v>272</v>
      </c>
      <c r="D213" t="s">
        <v>694</v>
      </c>
      <c r="E213" s="3">
        <v>-12</v>
      </c>
      <c r="F213" s="3">
        <f>44.2-53.4</f>
        <v>-9.1999999999999957</v>
      </c>
      <c r="G213" s="3">
        <f t="shared" si="4"/>
        <v>-3.5999999999999996</v>
      </c>
      <c r="K213" t="s">
        <v>664</v>
      </c>
      <c r="L213" t="s">
        <v>671</v>
      </c>
      <c r="N213" t="s">
        <v>687</v>
      </c>
      <c r="O213" t="s">
        <v>690</v>
      </c>
      <c r="P213" t="s">
        <v>688</v>
      </c>
      <c r="Q213" t="s">
        <v>688</v>
      </c>
      <c r="S213" t="s">
        <v>700</v>
      </c>
      <c r="T213" t="s">
        <v>703</v>
      </c>
    </row>
    <row r="214" spans="1:20" x14ac:dyDescent="0.2">
      <c r="A214" t="s">
        <v>631</v>
      </c>
      <c r="B214">
        <v>2</v>
      </c>
      <c r="C214" t="s">
        <v>273</v>
      </c>
      <c r="D214" t="s">
        <v>695</v>
      </c>
      <c r="E214" s="3">
        <v>5.8</v>
      </c>
      <c r="F214" s="3">
        <f>52.4-45.2</f>
        <v>7.1999999999999957</v>
      </c>
      <c r="G214" s="3">
        <f t="shared" si="4"/>
        <v>14.2</v>
      </c>
      <c r="K214" t="s">
        <v>664</v>
      </c>
      <c r="L214" t="s">
        <v>669</v>
      </c>
      <c r="N214" t="s">
        <v>689</v>
      </c>
      <c r="O214" t="s">
        <v>690</v>
      </c>
      <c r="P214" t="s">
        <v>688</v>
      </c>
      <c r="Q214" t="s">
        <v>688</v>
      </c>
      <c r="S214" t="s">
        <v>700</v>
      </c>
      <c r="T214" t="s">
        <v>703</v>
      </c>
    </row>
    <row r="215" spans="1:20" x14ac:dyDescent="0.2">
      <c r="A215" t="s">
        <v>631</v>
      </c>
      <c r="B215">
        <v>3</v>
      </c>
      <c r="C215" t="s">
        <v>274</v>
      </c>
      <c r="D215" t="s">
        <v>695</v>
      </c>
      <c r="E215" s="3">
        <v>21.3</v>
      </c>
      <c r="F215" s="3">
        <f>59.3-38.4</f>
        <v>20.9</v>
      </c>
      <c r="G215" s="3">
        <f t="shared" si="4"/>
        <v>29.700000000000003</v>
      </c>
      <c r="K215" t="s">
        <v>664</v>
      </c>
      <c r="L215" t="s">
        <v>669</v>
      </c>
      <c r="N215" t="s">
        <v>690</v>
      </c>
      <c r="O215" t="s">
        <v>689</v>
      </c>
      <c r="P215" t="s">
        <v>688</v>
      </c>
      <c r="Q215" t="s">
        <v>688</v>
      </c>
      <c r="S215" t="s">
        <v>700</v>
      </c>
      <c r="T215" t="s">
        <v>703</v>
      </c>
    </row>
    <row r="216" spans="1:20" x14ac:dyDescent="0.2">
      <c r="A216" t="s">
        <v>631</v>
      </c>
      <c r="B216">
        <v>4</v>
      </c>
      <c r="C216" t="s">
        <v>275</v>
      </c>
      <c r="D216" t="s">
        <v>695</v>
      </c>
      <c r="E216" s="3">
        <v>35.700000000000003</v>
      </c>
      <c r="F216" s="3">
        <f>67.6-30.1</f>
        <v>37.499999999999993</v>
      </c>
      <c r="G216" s="3">
        <f t="shared" si="4"/>
        <v>44.1</v>
      </c>
      <c r="K216" t="s">
        <v>664</v>
      </c>
      <c r="L216" t="s">
        <v>668</v>
      </c>
      <c r="N216" t="s">
        <v>689</v>
      </c>
      <c r="O216" t="s">
        <v>689</v>
      </c>
      <c r="P216" t="s">
        <v>687</v>
      </c>
      <c r="Q216" t="s">
        <v>688</v>
      </c>
      <c r="S216" t="s">
        <v>700</v>
      </c>
      <c r="T216" t="s">
        <v>703</v>
      </c>
    </row>
    <row r="217" spans="1:20" x14ac:dyDescent="0.2">
      <c r="A217" t="s">
        <v>631</v>
      </c>
      <c r="B217">
        <v>5</v>
      </c>
      <c r="C217" t="s">
        <v>276</v>
      </c>
      <c r="D217" t="s">
        <v>695</v>
      </c>
      <c r="E217" s="3">
        <v>61.9</v>
      </c>
      <c r="F217" s="3">
        <f>80.3-17.4</f>
        <v>62.9</v>
      </c>
      <c r="G217" s="3">
        <f t="shared" si="4"/>
        <v>70.3</v>
      </c>
      <c r="K217" t="s">
        <v>664</v>
      </c>
      <c r="L217" t="s">
        <v>668</v>
      </c>
      <c r="N217" t="s">
        <v>690</v>
      </c>
      <c r="O217" t="s">
        <v>689</v>
      </c>
      <c r="P217" t="s">
        <v>687</v>
      </c>
      <c r="Q217" t="s">
        <v>688</v>
      </c>
      <c r="S217" t="s">
        <v>700</v>
      </c>
      <c r="T217" t="s">
        <v>703</v>
      </c>
    </row>
    <row r="218" spans="1:20" x14ac:dyDescent="0.2">
      <c r="A218" t="s">
        <v>631</v>
      </c>
      <c r="B218">
        <v>6</v>
      </c>
      <c r="C218" t="s">
        <v>277</v>
      </c>
      <c r="D218" t="s">
        <v>694</v>
      </c>
      <c r="E218" s="3">
        <v>-19.7</v>
      </c>
      <c r="F218" s="3">
        <f>40-57.6</f>
        <v>-17.600000000000001</v>
      </c>
      <c r="G218" s="3">
        <f t="shared" si="4"/>
        <v>-11.299999999999999</v>
      </c>
      <c r="K218" t="s">
        <v>664</v>
      </c>
      <c r="L218" t="s">
        <v>670</v>
      </c>
      <c r="N218" t="s">
        <v>687</v>
      </c>
      <c r="O218" t="s">
        <v>690</v>
      </c>
      <c r="P218" t="s">
        <v>688</v>
      </c>
      <c r="Q218" t="s">
        <v>688</v>
      </c>
      <c r="S218" t="s">
        <v>700</v>
      </c>
      <c r="T218" t="s">
        <v>703</v>
      </c>
    </row>
    <row r="219" spans="1:20" x14ac:dyDescent="0.2">
      <c r="A219" t="s">
        <v>631</v>
      </c>
      <c r="B219">
        <v>7</v>
      </c>
      <c r="C219" t="s">
        <v>278</v>
      </c>
      <c r="D219" t="s">
        <v>694</v>
      </c>
      <c r="E219" s="3">
        <v>-36.5</v>
      </c>
      <c r="F219" s="3">
        <f>32.4-65.6</f>
        <v>-33.199999999999996</v>
      </c>
      <c r="G219" s="3">
        <f t="shared" si="4"/>
        <v>-28.1</v>
      </c>
      <c r="K219" t="s">
        <v>664</v>
      </c>
      <c r="L219" t="s">
        <v>671</v>
      </c>
      <c r="N219" t="s">
        <v>688</v>
      </c>
      <c r="O219" t="s">
        <v>690</v>
      </c>
      <c r="P219" t="s">
        <v>688</v>
      </c>
      <c r="Q219" t="s">
        <v>688</v>
      </c>
      <c r="S219" t="s">
        <v>700</v>
      </c>
      <c r="T219" t="s">
        <v>703</v>
      </c>
    </row>
    <row r="220" spans="1:20" x14ac:dyDescent="0.2">
      <c r="A220" t="s">
        <v>631</v>
      </c>
      <c r="B220">
        <v>8</v>
      </c>
      <c r="C220" t="s">
        <v>279</v>
      </c>
      <c r="D220" t="s">
        <v>694</v>
      </c>
      <c r="E220" s="3">
        <v>-14.3</v>
      </c>
      <c r="F220" s="3">
        <f>43.3-54.5</f>
        <v>-11.200000000000003</v>
      </c>
      <c r="G220" s="3">
        <f t="shared" si="4"/>
        <v>-5.9</v>
      </c>
      <c r="K220" t="s">
        <v>664</v>
      </c>
      <c r="L220" t="s">
        <v>671</v>
      </c>
      <c r="N220" t="s">
        <v>687</v>
      </c>
      <c r="O220" t="s">
        <v>690</v>
      </c>
      <c r="P220" t="s">
        <v>688</v>
      </c>
      <c r="Q220" t="s">
        <v>688</v>
      </c>
      <c r="S220" t="s">
        <v>700</v>
      </c>
      <c r="T220" t="s">
        <v>703</v>
      </c>
    </row>
    <row r="221" spans="1:20" x14ac:dyDescent="0.2">
      <c r="A221" t="s">
        <v>632</v>
      </c>
      <c r="B221">
        <v>1</v>
      </c>
      <c r="C221" t="s">
        <v>280</v>
      </c>
      <c r="D221" t="s">
        <v>694</v>
      </c>
      <c r="E221" s="3">
        <v>-37</v>
      </c>
      <c r="F221" s="3">
        <f>33.4-65.1</f>
        <v>-31.699999999999996</v>
      </c>
      <c r="G221" s="3">
        <f t="shared" si="4"/>
        <v>-28.6</v>
      </c>
      <c r="H221" s="4" t="s">
        <v>281</v>
      </c>
      <c r="I221" t="s">
        <v>280</v>
      </c>
      <c r="K221" t="s">
        <v>674</v>
      </c>
      <c r="L221" t="s">
        <v>671</v>
      </c>
      <c r="N221" t="s">
        <v>688</v>
      </c>
      <c r="O221" t="s">
        <v>689</v>
      </c>
      <c r="P221" t="s">
        <v>689</v>
      </c>
      <c r="Q221" t="s">
        <v>688</v>
      </c>
      <c r="S221" t="s">
        <v>700</v>
      </c>
      <c r="T221" t="s">
        <v>704</v>
      </c>
    </row>
    <row r="222" spans="1:20" x14ac:dyDescent="0.2">
      <c r="A222" t="s">
        <v>632</v>
      </c>
      <c r="B222">
        <v>2</v>
      </c>
      <c r="C222" t="s">
        <v>282</v>
      </c>
      <c r="D222" t="s">
        <v>695</v>
      </c>
      <c r="E222" s="3">
        <v>20.399999999999999</v>
      </c>
      <c r="F222" s="3">
        <f>62.5-36.4</f>
        <v>26.1</v>
      </c>
      <c r="G222" s="3">
        <f t="shared" si="4"/>
        <v>28.799999999999997</v>
      </c>
      <c r="H222" t="s">
        <v>282</v>
      </c>
      <c r="I222" s="4" t="s">
        <v>283</v>
      </c>
      <c r="J222" s="4"/>
      <c r="K222" t="s">
        <v>674</v>
      </c>
      <c r="L222" t="s">
        <v>671</v>
      </c>
      <c r="N222" t="s">
        <v>688</v>
      </c>
      <c r="O222" t="s">
        <v>688</v>
      </c>
      <c r="P222" t="s">
        <v>690</v>
      </c>
      <c r="Q222" t="s">
        <v>688</v>
      </c>
      <c r="S222" t="s">
        <v>700</v>
      </c>
      <c r="T222" t="s">
        <v>704</v>
      </c>
    </row>
    <row r="223" spans="1:20" x14ac:dyDescent="0.2">
      <c r="A223" t="s">
        <v>632</v>
      </c>
      <c r="B223">
        <v>3</v>
      </c>
      <c r="C223" t="s">
        <v>284</v>
      </c>
      <c r="D223" t="s">
        <v>694</v>
      </c>
      <c r="E223" s="3">
        <v>-29.2</v>
      </c>
      <c r="F223" s="3">
        <f>37.2-61.5</f>
        <v>-24.299999999999997</v>
      </c>
      <c r="G223" s="3">
        <f t="shared" si="4"/>
        <v>-20.799999999999997</v>
      </c>
      <c r="H223" s="4" t="s">
        <v>285</v>
      </c>
      <c r="I223" t="s">
        <v>284</v>
      </c>
      <c r="K223" t="s">
        <v>674</v>
      </c>
      <c r="L223" t="s">
        <v>671</v>
      </c>
      <c r="N223" t="s">
        <v>687</v>
      </c>
      <c r="O223" t="s">
        <v>689</v>
      </c>
      <c r="P223" t="s">
        <v>689</v>
      </c>
      <c r="Q223" t="s">
        <v>688</v>
      </c>
      <c r="S223" t="s">
        <v>700</v>
      </c>
      <c r="T223" t="s">
        <v>704</v>
      </c>
    </row>
    <row r="224" spans="1:20" x14ac:dyDescent="0.2">
      <c r="A224" t="s">
        <v>632</v>
      </c>
      <c r="B224">
        <v>4</v>
      </c>
      <c r="C224" t="s">
        <v>286</v>
      </c>
      <c r="D224" t="s">
        <v>694</v>
      </c>
      <c r="E224" s="3">
        <v>-42.5</v>
      </c>
      <c r="F224" s="3">
        <f>30.3-68.2</f>
        <v>-37.900000000000006</v>
      </c>
      <c r="G224" s="3">
        <f t="shared" si="4"/>
        <v>-34.1</v>
      </c>
      <c r="H224" s="4" t="s">
        <v>287</v>
      </c>
      <c r="I224" t="s">
        <v>286</v>
      </c>
      <c r="K224" t="s">
        <v>674</v>
      </c>
      <c r="L224" t="s">
        <v>671</v>
      </c>
      <c r="N224" t="s">
        <v>688</v>
      </c>
      <c r="O224" t="s">
        <v>689</v>
      </c>
      <c r="P224" t="s">
        <v>689</v>
      </c>
      <c r="Q224" t="s">
        <v>688</v>
      </c>
      <c r="S224" t="s">
        <v>700</v>
      </c>
      <c r="T224" t="s">
        <v>704</v>
      </c>
    </row>
    <row r="225" spans="1:20" x14ac:dyDescent="0.2">
      <c r="A225" t="s">
        <v>633</v>
      </c>
      <c r="B225">
        <v>1</v>
      </c>
      <c r="C225" t="s">
        <v>288</v>
      </c>
      <c r="D225" t="s">
        <v>695</v>
      </c>
      <c r="E225" s="3">
        <v>57.5</v>
      </c>
      <c r="F225" s="3">
        <f>78.6-19.8</f>
        <v>58.8</v>
      </c>
      <c r="G225" s="3">
        <f t="shared" si="4"/>
        <v>65.900000000000006</v>
      </c>
      <c r="K225" t="s">
        <v>664</v>
      </c>
      <c r="L225" t="s">
        <v>668</v>
      </c>
      <c r="N225" t="s">
        <v>687</v>
      </c>
      <c r="O225" t="s">
        <v>688</v>
      </c>
      <c r="P225" t="s">
        <v>689</v>
      </c>
      <c r="Q225" t="s">
        <v>688</v>
      </c>
      <c r="S225" t="s">
        <v>700</v>
      </c>
      <c r="T225" t="s">
        <v>703</v>
      </c>
    </row>
    <row r="226" spans="1:20" x14ac:dyDescent="0.2">
      <c r="A226" t="s">
        <v>633</v>
      </c>
      <c r="B226">
        <v>2</v>
      </c>
      <c r="C226" t="s">
        <v>289</v>
      </c>
      <c r="D226" t="s">
        <v>694</v>
      </c>
      <c r="E226" s="3">
        <v>-11.3</v>
      </c>
      <c r="F226" s="3">
        <f>43.6-54.7</f>
        <v>-11.100000000000001</v>
      </c>
      <c r="G226" s="3">
        <f t="shared" si="4"/>
        <v>-2.9000000000000004</v>
      </c>
      <c r="K226" t="s">
        <v>664</v>
      </c>
      <c r="L226" t="s">
        <v>671</v>
      </c>
      <c r="N226" t="s">
        <v>689</v>
      </c>
      <c r="O226" t="s">
        <v>690</v>
      </c>
      <c r="P226" t="s">
        <v>688</v>
      </c>
      <c r="Q226" t="s">
        <v>688</v>
      </c>
      <c r="S226" t="s">
        <v>700</v>
      </c>
      <c r="T226" t="s">
        <v>703</v>
      </c>
    </row>
    <row r="227" spans="1:20" x14ac:dyDescent="0.2">
      <c r="A227" t="s">
        <v>633</v>
      </c>
      <c r="B227">
        <v>3</v>
      </c>
      <c r="C227" t="s">
        <v>290</v>
      </c>
      <c r="D227" t="s">
        <v>694</v>
      </c>
      <c r="E227" s="3">
        <v>-19.899999999999999</v>
      </c>
      <c r="F227" s="3">
        <f>39.8-58.2</f>
        <v>-18.400000000000006</v>
      </c>
      <c r="G227" s="3">
        <f t="shared" si="4"/>
        <v>-11.499999999999998</v>
      </c>
      <c r="K227" t="s">
        <v>664</v>
      </c>
      <c r="L227" t="s">
        <v>671</v>
      </c>
      <c r="N227" t="s">
        <v>689</v>
      </c>
      <c r="O227" t="s">
        <v>690</v>
      </c>
      <c r="P227" t="s">
        <v>688</v>
      </c>
      <c r="Q227" t="s">
        <v>688</v>
      </c>
      <c r="S227" t="s">
        <v>700</v>
      </c>
      <c r="T227" t="s">
        <v>703</v>
      </c>
    </row>
    <row r="228" spans="1:20" x14ac:dyDescent="0.2">
      <c r="A228" t="s">
        <v>633</v>
      </c>
      <c r="B228">
        <v>4</v>
      </c>
      <c r="C228" t="s">
        <v>291</v>
      </c>
      <c r="D228" t="s">
        <v>694</v>
      </c>
      <c r="E228" s="3">
        <v>-21</v>
      </c>
      <c r="F228" s="3">
        <f>39.7-58.5</f>
        <v>-18.799999999999997</v>
      </c>
      <c r="G228" s="3">
        <f t="shared" si="4"/>
        <v>-12.6</v>
      </c>
      <c r="K228" t="s">
        <v>664</v>
      </c>
      <c r="L228" t="s">
        <v>671</v>
      </c>
      <c r="N228" t="s">
        <v>687</v>
      </c>
      <c r="O228" t="s">
        <v>690</v>
      </c>
      <c r="P228" t="s">
        <v>688</v>
      </c>
      <c r="Q228" t="s">
        <v>688</v>
      </c>
      <c r="S228" t="s">
        <v>700</v>
      </c>
      <c r="T228" t="s">
        <v>703</v>
      </c>
    </row>
    <row r="229" spans="1:20" x14ac:dyDescent="0.2">
      <c r="A229" t="s">
        <v>633</v>
      </c>
      <c r="B229">
        <v>5</v>
      </c>
      <c r="C229" t="s">
        <v>292</v>
      </c>
      <c r="D229" t="s">
        <v>695</v>
      </c>
      <c r="E229" s="3">
        <v>-18.3</v>
      </c>
      <c r="F229" s="3">
        <f>41.9-56.1</f>
        <v>-14.200000000000003</v>
      </c>
      <c r="G229" s="3">
        <f t="shared" si="4"/>
        <v>-9.9</v>
      </c>
      <c r="K229" t="s">
        <v>664</v>
      </c>
      <c r="L229" t="s">
        <v>671</v>
      </c>
      <c r="N229" t="s">
        <v>688</v>
      </c>
      <c r="O229" t="s">
        <v>689</v>
      </c>
      <c r="P229" t="s">
        <v>687</v>
      </c>
      <c r="Q229" t="s">
        <v>688</v>
      </c>
      <c r="S229" t="s">
        <v>700</v>
      </c>
      <c r="T229" t="s">
        <v>703</v>
      </c>
    </row>
    <row r="230" spans="1:20" x14ac:dyDescent="0.2">
      <c r="A230" t="s">
        <v>633</v>
      </c>
      <c r="B230">
        <v>6</v>
      </c>
      <c r="C230" t="s">
        <v>293</v>
      </c>
      <c r="D230" t="s">
        <v>694</v>
      </c>
      <c r="E230" s="3">
        <v>-26.6</v>
      </c>
      <c r="F230" s="3">
        <f>36.7-61.5</f>
        <v>-24.799999999999997</v>
      </c>
      <c r="G230" s="3">
        <f t="shared" si="4"/>
        <v>-18.200000000000003</v>
      </c>
      <c r="K230" t="s">
        <v>664</v>
      </c>
      <c r="L230" t="s">
        <v>671</v>
      </c>
      <c r="N230" t="s">
        <v>687</v>
      </c>
      <c r="O230" t="s">
        <v>690</v>
      </c>
      <c r="P230" t="s">
        <v>688</v>
      </c>
      <c r="Q230" t="s">
        <v>688</v>
      </c>
      <c r="S230" t="s">
        <v>700</v>
      </c>
      <c r="T230" t="s">
        <v>703</v>
      </c>
    </row>
    <row r="231" spans="1:20" x14ac:dyDescent="0.2">
      <c r="A231" t="s">
        <v>633</v>
      </c>
      <c r="B231">
        <v>7</v>
      </c>
      <c r="C231" t="s">
        <v>294</v>
      </c>
      <c r="D231" t="s">
        <v>694</v>
      </c>
      <c r="E231" s="3">
        <v>-42.6</v>
      </c>
      <c r="F231" s="3">
        <f>28.4-69.8</f>
        <v>-41.4</v>
      </c>
      <c r="G231" s="3">
        <f t="shared" si="4"/>
        <v>-34.200000000000003</v>
      </c>
      <c r="K231" t="s">
        <v>664</v>
      </c>
      <c r="L231" t="s">
        <v>671</v>
      </c>
      <c r="N231" t="s">
        <v>687</v>
      </c>
      <c r="O231" t="s">
        <v>690</v>
      </c>
      <c r="P231" t="s">
        <v>688</v>
      </c>
      <c r="Q231" t="s">
        <v>688</v>
      </c>
      <c r="S231" t="s">
        <v>700</v>
      </c>
      <c r="T231" t="s">
        <v>703</v>
      </c>
    </row>
    <row r="232" spans="1:20" x14ac:dyDescent="0.2">
      <c r="A232" t="s">
        <v>633</v>
      </c>
      <c r="B232">
        <v>8</v>
      </c>
      <c r="C232" t="s">
        <v>295</v>
      </c>
      <c r="D232" t="s">
        <v>694</v>
      </c>
      <c r="E232" s="3">
        <v>-53.8</v>
      </c>
      <c r="F232" s="3">
        <f>23.6-74.9</f>
        <v>-51.300000000000004</v>
      </c>
      <c r="G232" s="3">
        <f t="shared" si="4"/>
        <v>-45.4</v>
      </c>
      <c r="K232" t="s">
        <v>664</v>
      </c>
      <c r="L232" t="s">
        <v>671</v>
      </c>
      <c r="N232" t="s">
        <v>688</v>
      </c>
      <c r="O232" t="s">
        <v>690</v>
      </c>
      <c r="P232" t="s">
        <v>688</v>
      </c>
      <c r="Q232" t="s">
        <v>688</v>
      </c>
      <c r="S232" t="s">
        <v>700</v>
      </c>
      <c r="T232" t="s">
        <v>703</v>
      </c>
    </row>
    <row r="233" spans="1:20" x14ac:dyDescent="0.2">
      <c r="A233" t="s">
        <v>634</v>
      </c>
      <c r="B233">
        <v>1</v>
      </c>
      <c r="C233" t="s">
        <v>296</v>
      </c>
      <c r="D233" t="s">
        <v>694</v>
      </c>
      <c r="E233" s="3">
        <v>-11.5</v>
      </c>
      <c r="F233" s="3">
        <f>45.3-52.5</f>
        <v>-7.2000000000000028</v>
      </c>
      <c r="G233" s="3">
        <f t="shared" si="4"/>
        <v>-3.0999999999999996</v>
      </c>
      <c r="H233" s="4" t="s">
        <v>766</v>
      </c>
      <c r="I233" s="4" t="s">
        <v>725</v>
      </c>
      <c r="J233" s="4"/>
      <c r="K233" t="s">
        <v>666</v>
      </c>
      <c r="L233" t="s">
        <v>671</v>
      </c>
      <c r="N233" t="s">
        <v>689</v>
      </c>
      <c r="O233" t="s">
        <v>690</v>
      </c>
      <c r="P233" t="s">
        <v>688</v>
      </c>
      <c r="Q233" t="s">
        <v>688</v>
      </c>
      <c r="S233" t="s">
        <v>700</v>
      </c>
      <c r="T233" t="s">
        <v>704</v>
      </c>
    </row>
    <row r="234" spans="1:20" x14ac:dyDescent="0.2">
      <c r="A234" t="s">
        <v>634</v>
      </c>
      <c r="B234">
        <v>2</v>
      </c>
      <c r="C234" t="s">
        <v>297</v>
      </c>
      <c r="D234" t="s">
        <v>694</v>
      </c>
      <c r="E234" s="3">
        <v>-29.5</v>
      </c>
      <c r="F234" s="3">
        <f>35.3-62.2</f>
        <v>-26.900000000000006</v>
      </c>
      <c r="G234" s="3">
        <f t="shared" si="4"/>
        <v>-21.1</v>
      </c>
      <c r="H234" s="4" t="s">
        <v>765</v>
      </c>
      <c r="I234" s="6" t="s">
        <v>297</v>
      </c>
      <c r="J234" s="4"/>
      <c r="K234" t="s">
        <v>666</v>
      </c>
      <c r="L234" t="s">
        <v>671</v>
      </c>
      <c r="N234" t="s">
        <v>687</v>
      </c>
      <c r="O234" t="s">
        <v>690</v>
      </c>
      <c r="P234" t="s">
        <v>688</v>
      </c>
      <c r="Q234" t="s">
        <v>688</v>
      </c>
      <c r="S234" t="s">
        <v>700</v>
      </c>
      <c r="T234" t="s">
        <v>704</v>
      </c>
    </row>
    <row r="235" spans="1:20" x14ac:dyDescent="0.2">
      <c r="A235" t="s">
        <v>635</v>
      </c>
      <c r="B235">
        <v>1</v>
      </c>
      <c r="C235" t="s">
        <v>298</v>
      </c>
      <c r="D235" t="s">
        <v>694</v>
      </c>
      <c r="E235" s="3">
        <v>-13.1</v>
      </c>
      <c r="F235" s="3">
        <f>43.3-54.3</f>
        <v>-11</v>
      </c>
      <c r="G235" s="3">
        <f t="shared" si="4"/>
        <v>-4.6999999999999993</v>
      </c>
      <c r="H235" s="4" t="s">
        <v>299</v>
      </c>
      <c r="I235" t="s">
        <v>298</v>
      </c>
      <c r="K235" t="s">
        <v>679</v>
      </c>
      <c r="L235" t="s">
        <v>671</v>
      </c>
      <c r="N235" t="s">
        <v>687</v>
      </c>
      <c r="O235" t="s">
        <v>690</v>
      </c>
      <c r="P235" t="s">
        <v>688</v>
      </c>
      <c r="Q235" t="s">
        <v>688</v>
      </c>
      <c r="S235" t="s">
        <v>700</v>
      </c>
      <c r="T235" t="s">
        <v>704</v>
      </c>
    </row>
    <row r="236" spans="1:20" x14ac:dyDescent="0.2">
      <c r="A236" t="s">
        <v>635</v>
      </c>
      <c r="B236">
        <v>2</v>
      </c>
      <c r="C236" t="s">
        <v>300</v>
      </c>
      <c r="D236" t="s">
        <v>694</v>
      </c>
      <c r="E236" s="3">
        <v>4.5999999999999996</v>
      </c>
      <c r="F236" s="3">
        <f>52.2-45.8</f>
        <v>6.4000000000000057</v>
      </c>
      <c r="G236" s="3">
        <f t="shared" si="4"/>
        <v>13</v>
      </c>
      <c r="H236" s="4" t="s">
        <v>301</v>
      </c>
      <c r="I236" s="4" t="s">
        <v>302</v>
      </c>
      <c r="J236" s="4"/>
      <c r="K236" t="s">
        <v>679</v>
      </c>
      <c r="L236" t="s">
        <v>669</v>
      </c>
      <c r="N236" t="s">
        <v>689</v>
      </c>
      <c r="O236" t="s">
        <v>689</v>
      </c>
      <c r="P236" t="s">
        <v>687</v>
      </c>
      <c r="Q236" t="s">
        <v>688</v>
      </c>
      <c r="S236" t="s">
        <v>700</v>
      </c>
      <c r="T236" t="s">
        <v>704</v>
      </c>
    </row>
    <row r="237" spans="1:20" x14ac:dyDescent="0.2">
      <c r="A237" t="s">
        <v>635</v>
      </c>
      <c r="B237">
        <v>3</v>
      </c>
      <c r="C237" t="s">
        <v>303</v>
      </c>
      <c r="D237" t="s">
        <v>694</v>
      </c>
      <c r="E237" s="3">
        <v>-53.8</v>
      </c>
      <c r="F237" s="3">
        <f>23.1-74.9</f>
        <v>-51.800000000000004</v>
      </c>
      <c r="G237" s="3">
        <f t="shared" si="4"/>
        <v>-45.4</v>
      </c>
      <c r="H237" s="4" t="s">
        <v>304</v>
      </c>
      <c r="I237" t="s">
        <v>303</v>
      </c>
      <c r="K237" t="s">
        <v>679</v>
      </c>
      <c r="L237" t="s">
        <v>671</v>
      </c>
      <c r="N237" t="s">
        <v>688</v>
      </c>
      <c r="O237" t="s">
        <v>690</v>
      </c>
      <c r="P237" t="s">
        <v>688</v>
      </c>
      <c r="Q237" t="s">
        <v>688</v>
      </c>
      <c r="S237" t="s">
        <v>700</v>
      </c>
      <c r="T237" t="s">
        <v>704</v>
      </c>
    </row>
    <row r="238" spans="1:20" x14ac:dyDescent="0.2">
      <c r="A238" t="s">
        <v>636</v>
      </c>
      <c r="B238">
        <v>1</v>
      </c>
      <c r="C238" t="s">
        <v>305</v>
      </c>
      <c r="D238" t="s">
        <v>695</v>
      </c>
      <c r="E238" s="3">
        <v>2.2999999999999998</v>
      </c>
      <c r="F238" s="3">
        <f>53.2-44.7</f>
        <v>8.5</v>
      </c>
      <c r="G238" s="3">
        <f t="shared" si="4"/>
        <v>10.7</v>
      </c>
      <c r="H238" s="6" t="s">
        <v>305</v>
      </c>
      <c r="I238" s="4" t="s">
        <v>801</v>
      </c>
      <c r="K238" t="s">
        <v>666</v>
      </c>
      <c r="L238" t="s">
        <v>672</v>
      </c>
      <c r="N238" t="s">
        <v>688</v>
      </c>
      <c r="O238" t="s">
        <v>688</v>
      </c>
      <c r="P238" t="s">
        <v>687</v>
      </c>
      <c r="Q238" t="s">
        <v>689</v>
      </c>
      <c r="S238" t="s">
        <v>700</v>
      </c>
      <c r="T238" t="s">
        <v>703</v>
      </c>
    </row>
    <row r="239" spans="1:20" x14ac:dyDescent="0.2">
      <c r="A239" t="s">
        <v>636</v>
      </c>
      <c r="B239">
        <v>2</v>
      </c>
      <c r="C239" t="s">
        <v>306</v>
      </c>
      <c r="D239" t="s">
        <v>694</v>
      </c>
      <c r="E239" s="3">
        <v>-14</v>
      </c>
      <c r="F239" s="3">
        <f>43.1-54.1</f>
        <v>-11</v>
      </c>
      <c r="G239" s="3">
        <f t="shared" si="4"/>
        <v>-5.6</v>
      </c>
      <c r="H239" s="4" t="s">
        <v>803</v>
      </c>
      <c r="I239" s="4" t="s">
        <v>802</v>
      </c>
      <c r="K239" t="s">
        <v>666</v>
      </c>
      <c r="L239" t="s">
        <v>671</v>
      </c>
      <c r="N239" t="s">
        <v>687</v>
      </c>
      <c r="O239" t="s">
        <v>689</v>
      </c>
      <c r="P239" t="s">
        <v>687</v>
      </c>
      <c r="Q239" t="s">
        <v>687</v>
      </c>
      <c r="S239" t="s">
        <v>700</v>
      </c>
      <c r="T239" t="s">
        <v>703</v>
      </c>
    </row>
    <row r="240" spans="1:20" x14ac:dyDescent="0.2">
      <c r="A240" t="s">
        <v>636</v>
      </c>
      <c r="B240">
        <v>3</v>
      </c>
      <c r="C240" t="s">
        <v>307</v>
      </c>
      <c r="D240" t="s">
        <v>695</v>
      </c>
      <c r="E240" s="3">
        <v>-0.7</v>
      </c>
      <c r="F240" s="3">
        <f>52.4-45.7</f>
        <v>6.6999999999999957</v>
      </c>
      <c r="G240" s="3">
        <f t="shared" si="4"/>
        <v>7.7</v>
      </c>
      <c r="H240" s="6" t="s">
        <v>307</v>
      </c>
      <c r="I240" s="4" t="s">
        <v>804</v>
      </c>
      <c r="K240" t="s">
        <v>666</v>
      </c>
      <c r="L240" t="s">
        <v>672</v>
      </c>
      <c r="N240" t="s">
        <v>687</v>
      </c>
      <c r="O240" t="s">
        <v>687</v>
      </c>
      <c r="P240" t="s">
        <v>687</v>
      </c>
      <c r="Q240" t="s">
        <v>687</v>
      </c>
      <c r="S240" t="s">
        <v>700</v>
      </c>
      <c r="T240" t="s">
        <v>703</v>
      </c>
    </row>
    <row r="241" spans="1:20" x14ac:dyDescent="0.2">
      <c r="A241" t="s">
        <v>636</v>
      </c>
      <c r="B241">
        <v>4</v>
      </c>
      <c r="C241" t="s">
        <v>308</v>
      </c>
      <c r="D241" t="s">
        <v>695</v>
      </c>
      <c r="E241" s="3">
        <v>2.8</v>
      </c>
      <c r="F241" s="3">
        <f>53-44.8</f>
        <v>8.2000000000000028</v>
      </c>
      <c r="G241" s="3">
        <f t="shared" si="4"/>
        <v>11.2</v>
      </c>
      <c r="H241" s="6" t="s">
        <v>308</v>
      </c>
      <c r="I241" s="4" t="s">
        <v>805</v>
      </c>
      <c r="K241" t="s">
        <v>666</v>
      </c>
      <c r="L241" t="s">
        <v>672</v>
      </c>
      <c r="N241" t="s">
        <v>688</v>
      </c>
      <c r="O241" t="s">
        <v>688</v>
      </c>
      <c r="P241" t="s">
        <v>687</v>
      </c>
      <c r="Q241" t="s">
        <v>689</v>
      </c>
      <c r="S241" t="s">
        <v>700</v>
      </c>
      <c r="T241" t="s">
        <v>703</v>
      </c>
    </row>
    <row r="242" spans="1:20" x14ac:dyDescent="0.2">
      <c r="A242" t="s">
        <v>637</v>
      </c>
      <c r="B242">
        <v>1</v>
      </c>
      <c r="C242" t="s">
        <v>309</v>
      </c>
      <c r="D242" t="s">
        <v>695</v>
      </c>
      <c r="E242" s="3">
        <v>2</v>
      </c>
      <c r="F242" s="3">
        <f>52.2-46.2</f>
        <v>6</v>
      </c>
      <c r="G242" s="3">
        <f t="shared" si="4"/>
        <v>10.4</v>
      </c>
      <c r="K242" t="s">
        <v>663</v>
      </c>
      <c r="L242" t="s">
        <v>672</v>
      </c>
      <c r="N242" t="s">
        <v>689</v>
      </c>
      <c r="O242" t="s">
        <v>690</v>
      </c>
      <c r="P242" t="s">
        <v>688</v>
      </c>
      <c r="Q242" t="s">
        <v>688</v>
      </c>
      <c r="S242" t="s">
        <v>700</v>
      </c>
      <c r="T242" t="s">
        <v>703</v>
      </c>
    </row>
    <row r="243" spans="1:20" x14ac:dyDescent="0.2">
      <c r="A243" t="s">
        <v>637</v>
      </c>
      <c r="B243">
        <v>2</v>
      </c>
      <c r="C243" t="s">
        <v>310</v>
      </c>
      <c r="D243" t="s">
        <v>695</v>
      </c>
      <c r="E243" s="3">
        <v>3.6</v>
      </c>
      <c r="F243" s="3">
        <f>53.6-44.7</f>
        <v>8.8999999999999986</v>
      </c>
      <c r="G243" s="3">
        <f t="shared" si="4"/>
        <v>12</v>
      </c>
      <c r="K243" t="s">
        <v>663</v>
      </c>
      <c r="L243" t="s">
        <v>672</v>
      </c>
      <c r="N243" t="s">
        <v>689</v>
      </c>
      <c r="O243" t="s">
        <v>690</v>
      </c>
      <c r="P243" t="s">
        <v>688</v>
      </c>
      <c r="Q243" t="s">
        <v>688</v>
      </c>
      <c r="S243" t="s">
        <v>700</v>
      </c>
      <c r="T243" t="s">
        <v>703</v>
      </c>
    </row>
    <row r="244" spans="1:20" x14ac:dyDescent="0.2">
      <c r="A244" t="s">
        <v>638</v>
      </c>
      <c r="B244">
        <v>1</v>
      </c>
      <c r="C244" t="s">
        <v>311</v>
      </c>
      <c r="D244" t="s">
        <v>695</v>
      </c>
      <c r="E244" s="3">
        <v>18.7</v>
      </c>
      <c r="F244" s="3">
        <f>61.5-37.1</f>
        <v>24.4</v>
      </c>
      <c r="G244" s="3">
        <f t="shared" si="4"/>
        <v>27.1</v>
      </c>
      <c r="H244" t="s">
        <v>311</v>
      </c>
      <c r="I244" s="4" t="s">
        <v>707</v>
      </c>
      <c r="J244" s="4"/>
      <c r="K244" t="s">
        <v>676</v>
      </c>
      <c r="L244" t="s">
        <v>672</v>
      </c>
      <c r="N244" t="s">
        <v>687</v>
      </c>
      <c r="O244" t="s">
        <v>689</v>
      </c>
      <c r="P244" t="s">
        <v>687</v>
      </c>
      <c r="Q244" t="s">
        <v>688</v>
      </c>
      <c r="S244" t="s">
        <v>700</v>
      </c>
      <c r="T244" t="s">
        <v>704</v>
      </c>
    </row>
    <row r="245" spans="1:20" x14ac:dyDescent="0.2">
      <c r="A245" t="s">
        <v>638</v>
      </c>
      <c r="B245">
        <v>2</v>
      </c>
      <c r="C245" t="s">
        <v>312</v>
      </c>
      <c r="D245" t="s">
        <v>694</v>
      </c>
      <c r="E245" s="3">
        <v>-12.6</v>
      </c>
      <c r="F245" s="3">
        <f>46.8-51.8</f>
        <v>-5</v>
      </c>
      <c r="G245" s="3">
        <f t="shared" si="4"/>
        <v>-4.1999999999999993</v>
      </c>
      <c r="H245" s="4" t="s">
        <v>708</v>
      </c>
      <c r="I245" t="s">
        <v>312</v>
      </c>
      <c r="K245" t="s">
        <v>676</v>
      </c>
      <c r="L245" t="s">
        <v>671</v>
      </c>
      <c r="N245" t="s">
        <v>687</v>
      </c>
      <c r="O245" t="s">
        <v>689</v>
      </c>
      <c r="P245" t="s">
        <v>687</v>
      </c>
      <c r="Q245" t="s">
        <v>688</v>
      </c>
      <c r="S245" t="s">
        <v>700</v>
      </c>
      <c r="T245" t="s">
        <v>704</v>
      </c>
    </row>
    <row r="246" spans="1:20" x14ac:dyDescent="0.2">
      <c r="A246" t="s">
        <v>638</v>
      </c>
      <c r="B246">
        <v>3</v>
      </c>
      <c r="C246" t="s">
        <v>313</v>
      </c>
      <c r="D246" t="s">
        <v>695</v>
      </c>
      <c r="E246" s="3">
        <v>8.4</v>
      </c>
      <c r="F246" s="3">
        <f>56.4-42.3</f>
        <v>14.100000000000001</v>
      </c>
      <c r="G246" s="3">
        <f t="shared" si="4"/>
        <v>16.8</v>
      </c>
      <c r="H246" t="s">
        <v>313</v>
      </c>
      <c r="I246" s="4" t="s">
        <v>709</v>
      </c>
      <c r="J246" s="4"/>
      <c r="K246" t="s">
        <v>676</v>
      </c>
      <c r="L246" t="s">
        <v>672</v>
      </c>
      <c r="N246" t="s">
        <v>689</v>
      </c>
      <c r="O246" t="s">
        <v>689</v>
      </c>
      <c r="P246" t="s">
        <v>687</v>
      </c>
      <c r="Q246" t="s">
        <v>688</v>
      </c>
      <c r="S246" t="s">
        <v>700</v>
      </c>
      <c r="T246" t="s">
        <v>704</v>
      </c>
    </row>
    <row r="247" spans="1:20" x14ac:dyDescent="0.2">
      <c r="A247" t="s">
        <v>638</v>
      </c>
      <c r="B247">
        <v>4</v>
      </c>
      <c r="C247" t="s">
        <v>314</v>
      </c>
      <c r="D247" t="s">
        <v>694</v>
      </c>
      <c r="E247" s="3">
        <v>-30.1</v>
      </c>
      <c r="F247" s="3">
        <f>38.1-60.6</f>
        <v>-22.5</v>
      </c>
      <c r="G247" s="3">
        <f t="shared" si="4"/>
        <v>-21.700000000000003</v>
      </c>
      <c r="H247" s="4" t="s">
        <v>710</v>
      </c>
      <c r="I247" t="s">
        <v>314</v>
      </c>
      <c r="K247" t="s">
        <v>676</v>
      </c>
      <c r="L247" t="s">
        <v>672</v>
      </c>
      <c r="N247" t="s">
        <v>689</v>
      </c>
      <c r="O247" t="s">
        <v>690</v>
      </c>
      <c r="P247" t="s">
        <v>688</v>
      </c>
      <c r="Q247" t="s">
        <v>688</v>
      </c>
      <c r="S247" t="s">
        <v>700</v>
      </c>
      <c r="T247" t="s">
        <v>704</v>
      </c>
    </row>
    <row r="248" spans="1:20" x14ac:dyDescent="0.2">
      <c r="A248" t="s">
        <v>638</v>
      </c>
      <c r="B248">
        <v>5</v>
      </c>
      <c r="C248" t="s">
        <v>315</v>
      </c>
      <c r="D248" t="s">
        <v>695</v>
      </c>
      <c r="E248" s="3">
        <v>1.8</v>
      </c>
      <c r="F248" s="3">
        <f>55.6-43.2</f>
        <v>12.399999999999999</v>
      </c>
      <c r="G248" s="3">
        <f t="shared" si="4"/>
        <v>10.200000000000001</v>
      </c>
      <c r="H248" t="s">
        <v>315</v>
      </c>
      <c r="I248" s="4" t="s">
        <v>711</v>
      </c>
      <c r="J248" s="4"/>
      <c r="K248" t="s">
        <v>676</v>
      </c>
      <c r="L248" t="s">
        <v>672</v>
      </c>
      <c r="N248" t="s">
        <v>690</v>
      </c>
      <c r="O248" t="s">
        <v>689</v>
      </c>
      <c r="P248" t="s">
        <v>688</v>
      </c>
      <c r="Q248" t="s">
        <v>688</v>
      </c>
      <c r="S248" t="s">
        <v>700</v>
      </c>
      <c r="T248" t="s">
        <v>704</v>
      </c>
    </row>
    <row r="249" spans="1:20" x14ac:dyDescent="0.2">
      <c r="A249" t="s">
        <v>638</v>
      </c>
      <c r="B249">
        <v>6</v>
      </c>
      <c r="C249" t="s">
        <v>316</v>
      </c>
      <c r="D249" t="s">
        <v>695</v>
      </c>
      <c r="E249" s="3">
        <v>6.4</v>
      </c>
      <c r="F249" s="3">
        <f>59.2-39.5</f>
        <v>19.700000000000003</v>
      </c>
      <c r="G249" s="3">
        <f t="shared" si="4"/>
        <v>14.8</v>
      </c>
      <c r="H249" s="6" t="s">
        <v>316</v>
      </c>
      <c r="I249" s="4" t="s">
        <v>712</v>
      </c>
      <c r="J249" s="4"/>
      <c r="K249" t="s">
        <v>676</v>
      </c>
      <c r="L249" t="s">
        <v>669</v>
      </c>
      <c r="N249" t="s">
        <v>689</v>
      </c>
      <c r="O249" t="s">
        <v>688</v>
      </c>
      <c r="P249" t="s">
        <v>687</v>
      </c>
      <c r="Q249" t="s">
        <v>687</v>
      </c>
      <c r="S249" t="s">
        <v>700</v>
      </c>
      <c r="T249" t="s">
        <v>704</v>
      </c>
    </row>
    <row r="250" spans="1:20" x14ac:dyDescent="0.2">
      <c r="A250" t="s">
        <v>638</v>
      </c>
      <c r="B250">
        <v>7</v>
      </c>
      <c r="C250" t="s">
        <v>317</v>
      </c>
      <c r="D250" t="s">
        <v>694</v>
      </c>
      <c r="E250" s="3">
        <v>-1.2</v>
      </c>
      <c r="F250" s="3">
        <f>51-47.4</f>
        <v>3.6000000000000014</v>
      </c>
      <c r="G250" s="3">
        <f t="shared" si="4"/>
        <v>7.2</v>
      </c>
      <c r="H250" s="4" t="s">
        <v>713</v>
      </c>
      <c r="I250" t="s">
        <v>317</v>
      </c>
      <c r="K250" t="s">
        <v>676</v>
      </c>
      <c r="L250" t="s">
        <v>669</v>
      </c>
      <c r="N250" t="s">
        <v>690</v>
      </c>
      <c r="O250" t="s">
        <v>689</v>
      </c>
      <c r="P250" t="s">
        <v>688</v>
      </c>
      <c r="Q250" t="s">
        <v>688</v>
      </c>
      <c r="S250" t="s">
        <v>700</v>
      </c>
      <c r="T250" t="s">
        <v>704</v>
      </c>
    </row>
    <row r="251" spans="1:20" x14ac:dyDescent="0.2">
      <c r="A251" t="s">
        <v>638</v>
      </c>
      <c r="B251">
        <v>8</v>
      </c>
      <c r="C251" t="s">
        <v>318</v>
      </c>
      <c r="D251" t="s">
        <v>695</v>
      </c>
      <c r="E251" s="3">
        <v>24.2</v>
      </c>
      <c r="F251" s="3">
        <f>71.9-27.1</f>
        <v>44.800000000000004</v>
      </c>
      <c r="G251" s="3">
        <f t="shared" si="4"/>
        <v>32.6</v>
      </c>
      <c r="H251" t="s">
        <v>318</v>
      </c>
      <c r="K251" t="s">
        <v>676</v>
      </c>
      <c r="L251" t="s">
        <v>668</v>
      </c>
      <c r="N251" t="s">
        <v>689</v>
      </c>
      <c r="O251" t="s">
        <v>688</v>
      </c>
      <c r="P251" t="s">
        <v>687</v>
      </c>
      <c r="Q251" t="s">
        <v>689</v>
      </c>
      <c r="S251" t="s">
        <v>700</v>
      </c>
      <c r="T251" t="s">
        <v>771</v>
      </c>
    </row>
    <row r="252" spans="1:20" x14ac:dyDescent="0.2">
      <c r="A252" t="s">
        <v>638</v>
      </c>
      <c r="B252">
        <v>9</v>
      </c>
      <c r="C252" t="s">
        <v>319</v>
      </c>
      <c r="D252" t="s">
        <v>695</v>
      </c>
      <c r="E252" s="3">
        <v>-1.1000000000000001</v>
      </c>
      <c r="F252" s="3">
        <f>59-40</f>
        <v>19</v>
      </c>
      <c r="G252" s="3">
        <f t="shared" si="4"/>
        <v>7.3000000000000007</v>
      </c>
      <c r="H252" t="s">
        <v>319</v>
      </c>
      <c r="I252" s="4" t="s">
        <v>777</v>
      </c>
      <c r="K252" t="s">
        <v>676</v>
      </c>
      <c r="L252" t="s">
        <v>669</v>
      </c>
      <c r="N252" t="s">
        <v>687</v>
      </c>
      <c r="O252" t="s">
        <v>688</v>
      </c>
      <c r="P252" t="s">
        <v>687</v>
      </c>
      <c r="Q252" t="s">
        <v>689</v>
      </c>
      <c r="S252" t="s">
        <v>700</v>
      </c>
      <c r="T252" t="s">
        <v>704</v>
      </c>
    </row>
    <row r="253" spans="1:20" x14ac:dyDescent="0.2">
      <c r="A253" t="s">
        <v>638</v>
      </c>
      <c r="B253">
        <v>10</v>
      </c>
      <c r="C253" t="s">
        <v>320</v>
      </c>
      <c r="D253" t="s">
        <v>695</v>
      </c>
      <c r="E253" s="3">
        <v>50.8</v>
      </c>
      <c r="F253" s="3">
        <f>80.9-18.3</f>
        <v>62.600000000000009</v>
      </c>
      <c r="G253" s="3">
        <f t="shared" si="4"/>
        <v>59.199999999999996</v>
      </c>
      <c r="H253" t="s">
        <v>320</v>
      </c>
      <c r="I253" s="4" t="s">
        <v>714</v>
      </c>
      <c r="J253" s="4"/>
      <c r="K253" t="s">
        <v>676</v>
      </c>
      <c r="L253" t="s">
        <v>668</v>
      </c>
      <c r="N253" t="s">
        <v>687</v>
      </c>
      <c r="O253" t="s">
        <v>688</v>
      </c>
      <c r="P253" t="s">
        <v>690</v>
      </c>
      <c r="Q253" t="s">
        <v>687</v>
      </c>
      <c r="S253" t="s">
        <v>700</v>
      </c>
      <c r="T253" t="s">
        <v>704</v>
      </c>
    </row>
    <row r="254" spans="1:20" x14ac:dyDescent="0.2">
      <c r="A254" t="s">
        <v>638</v>
      </c>
      <c r="B254">
        <v>11</v>
      </c>
      <c r="C254" t="s">
        <v>697</v>
      </c>
      <c r="D254" t="s">
        <v>695</v>
      </c>
      <c r="E254" s="3">
        <v>8.6999999999999993</v>
      </c>
      <c r="F254" s="3">
        <f>57.8-41</f>
        <v>16.799999999999997</v>
      </c>
      <c r="G254" s="3">
        <f t="shared" si="4"/>
        <v>17.100000000000001</v>
      </c>
      <c r="H254" t="s">
        <v>715</v>
      </c>
      <c r="I254" s="4" t="s">
        <v>716</v>
      </c>
      <c r="J254" s="4"/>
      <c r="K254" t="s">
        <v>676</v>
      </c>
      <c r="L254" t="s">
        <v>669</v>
      </c>
      <c r="N254" t="s">
        <v>690</v>
      </c>
      <c r="O254" t="s">
        <v>689</v>
      </c>
      <c r="P254" t="s">
        <v>688</v>
      </c>
      <c r="Q254" t="s">
        <v>687</v>
      </c>
      <c r="S254" t="s">
        <v>700</v>
      </c>
      <c r="T254" t="s">
        <v>704</v>
      </c>
    </row>
    <row r="255" spans="1:20" x14ac:dyDescent="0.2">
      <c r="A255" t="s">
        <v>638</v>
      </c>
      <c r="B255">
        <v>12</v>
      </c>
      <c r="C255" t="s">
        <v>322</v>
      </c>
      <c r="D255" t="s">
        <v>695</v>
      </c>
      <c r="E255" s="3">
        <v>23.9</v>
      </c>
      <c r="F255" s="3">
        <f>66.5-32.2</f>
        <v>34.299999999999997</v>
      </c>
      <c r="G255" s="3">
        <f t="shared" si="4"/>
        <v>32.299999999999997</v>
      </c>
      <c r="H255" s="4" t="s">
        <v>717</v>
      </c>
      <c r="I255" s="4" t="s">
        <v>718</v>
      </c>
      <c r="J255" s="4"/>
      <c r="K255" t="s">
        <v>676</v>
      </c>
      <c r="L255" t="s">
        <v>668</v>
      </c>
      <c r="N255" t="s">
        <v>690</v>
      </c>
      <c r="O255" t="s">
        <v>688</v>
      </c>
      <c r="P255" t="s">
        <v>687</v>
      </c>
      <c r="Q255" t="s">
        <v>687</v>
      </c>
      <c r="S255" t="s">
        <v>700</v>
      </c>
      <c r="T255" t="s">
        <v>704</v>
      </c>
    </row>
    <row r="256" spans="1:20" x14ac:dyDescent="0.2">
      <c r="A256" t="s">
        <v>639</v>
      </c>
      <c r="B256">
        <v>1</v>
      </c>
      <c r="C256" t="s">
        <v>323</v>
      </c>
      <c r="D256" t="s">
        <v>695</v>
      </c>
      <c r="E256" s="3">
        <v>12.9</v>
      </c>
      <c r="F256" s="3">
        <f>56-41.6</f>
        <v>14.399999999999999</v>
      </c>
      <c r="G256" s="3">
        <f t="shared" si="4"/>
        <v>21.3</v>
      </c>
      <c r="H256" t="s">
        <v>323</v>
      </c>
      <c r="I256" s="4" t="s">
        <v>856</v>
      </c>
      <c r="K256" t="s">
        <v>675</v>
      </c>
      <c r="L256" t="s">
        <v>672</v>
      </c>
      <c r="N256" t="s">
        <v>689</v>
      </c>
      <c r="O256" t="s">
        <v>687</v>
      </c>
      <c r="P256" t="s">
        <v>688</v>
      </c>
      <c r="Q256" t="s">
        <v>689</v>
      </c>
      <c r="S256" t="s">
        <v>700</v>
      </c>
      <c r="T256" t="s">
        <v>704</v>
      </c>
    </row>
    <row r="257" spans="1:20" x14ac:dyDescent="0.2">
      <c r="A257" t="s">
        <v>639</v>
      </c>
      <c r="B257">
        <v>2</v>
      </c>
      <c r="C257" t="s">
        <v>324</v>
      </c>
      <c r="D257" t="s">
        <v>695</v>
      </c>
      <c r="E257" s="3">
        <v>-1.9</v>
      </c>
      <c r="F257" s="3">
        <f>51.9-46</f>
        <v>5.8999999999999986</v>
      </c>
      <c r="G257" s="3">
        <f t="shared" si="4"/>
        <v>6.5</v>
      </c>
      <c r="H257" t="s">
        <v>324</v>
      </c>
      <c r="I257" s="4" t="s">
        <v>857</v>
      </c>
      <c r="K257" t="s">
        <v>675</v>
      </c>
      <c r="L257" t="s">
        <v>671</v>
      </c>
      <c r="N257" t="s">
        <v>688</v>
      </c>
      <c r="O257" t="s">
        <v>688</v>
      </c>
      <c r="P257" t="s">
        <v>688</v>
      </c>
      <c r="Q257" t="s">
        <v>690</v>
      </c>
      <c r="S257" t="s">
        <v>700</v>
      </c>
      <c r="T257" t="s">
        <v>704</v>
      </c>
    </row>
    <row r="258" spans="1:20" x14ac:dyDescent="0.2">
      <c r="A258" t="s">
        <v>639</v>
      </c>
      <c r="B258">
        <v>3</v>
      </c>
      <c r="C258" t="s">
        <v>325</v>
      </c>
      <c r="D258" t="s">
        <v>695</v>
      </c>
      <c r="E258" s="3">
        <v>4.8</v>
      </c>
      <c r="F258" s="3">
        <f>54.3-43.6</f>
        <v>10.699999999999996</v>
      </c>
      <c r="G258" s="3">
        <f t="shared" ref="G258:G321" si="5">E258+6.9+1.5</f>
        <v>13.2</v>
      </c>
      <c r="H258" t="s">
        <v>325</v>
      </c>
      <c r="I258" s="4" t="s">
        <v>858</v>
      </c>
      <c r="K258" t="s">
        <v>675</v>
      </c>
      <c r="L258" t="s">
        <v>672</v>
      </c>
      <c r="N258" t="s">
        <v>688</v>
      </c>
      <c r="O258" t="s">
        <v>688</v>
      </c>
      <c r="P258" t="s">
        <v>688</v>
      </c>
      <c r="Q258" t="s">
        <v>689</v>
      </c>
      <c r="S258" t="s">
        <v>700</v>
      </c>
      <c r="T258" t="s">
        <v>704</v>
      </c>
    </row>
    <row r="259" spans="1:20" x14ac:dyDescent="0.2">
      <c r="A259" t="s">
        <v>640</v>
      </c>
      <c r="B259">
        <v>1</v>
      </c>
      <c r="C259" t="s">
        <v>326</v>
      </c>
      <c r="D259" t="s">
        <v>694</v>
      </c>
      <c r="E259" s="3">
        <v>-10.1</v>
      </c>
      <c r="F259" s="3">
        <f>48.4-50.2</f>
        <v>-1.8000000000000043</v>
      </c>
      <c r="G259" s="3">
        <f t="shared" si="5"/>
        <v>-1.6999999999999993</v>
      </c>
      <c r="H259" s="4" t="s">
        <v>824</v>
      </c>
      <c r="I259" s="6" t="s">
        <v>326</v>
      </c>
      <c r="K259" t="s">
        <v>676</v>
      </c>
      <c r="L259" t="s">
        <v>670</v>
      </c>
      <c r="N259" t="s">
        <v>689</v>
      </c>
      <c r="O259" t="s">
        <v>689</v>
      </c>
      <c r="P259" t="s">
        <v>688</v>
      </c>
      <c r="Q259" t="s">
        <v>688</v>
      </c>
      <c r="S259" t="s">
        <v>700</v>
      </c>
      <c r="T259" t="s">
        <v>704</v>
      </c>
    </row>
    <row r="260" spans="1:20" x14ac:dyDescent="0.2">
      <c r="A260" t="s">
        <v>640</v>
      </c>
      <c r="B260">
        <v>2</v>
      </c>
      <c r="C260" t="s">
        <v>327</v>
      </c>
      <c r="D260" t="s">
        <v>694</v>
      </c>
      <c r="E260" s="3">
        <v>-13.9</v>
      </c>
      <c r="F260" s="3">
        <f>48.1-50.5</f>
        <v>-2.3999999999999986</v>
      </c>
      <c r="G260" s="3">
        <f t="shared" si="5"/>
        <v>-5.5</v>
      </c>
      <c r="H260" s="4" t="s">
        <v>825</v>
      </c>
      <c r="I260" t="s">
        <v>327</v>
      </c>
      <c r="K260" t="s">
        <v>676</v>
      </c>
      <c r="L260" t="s">
        <v>670</v>
      </c>
      <c r="N260" t="s">
        <v>689</v>
      </c>
      <c r="O260" t="s">
        <v>687</v>
      </c>
      <c r="P260" t="s">
        <v>687</v>
      </c>
      <c r="Q260" t="s">
        <v>687</v>
      </c>
      <c r="S260" t="s">
        <v>700</v>
      </c>
      <c r="T260" t="s">
        <v>704</v>
      </c>
    </row>
    <row r="261" spans="1:20" x14ac:dyDescent="0.2">
      <c r="A261" t="s">
        <v>640</v>
      </c>
      <c r="B261">
        <v>3</v>
      </c>
      <c r="C261" t="s">
        <v>328</v>
      </c>
      <c r="D261" t="s">
        <v>695</v>
      </c>
      <c r="E261" s="3">
        <v>-4.3</v>
      </c>
      <c r="F261" s="3">
        <f>55-43.7</f>
        <v>11.299999999999997</v>
      </c>
      <c r="G261" s="3">
        <f t="shared" si="5"/>
        <v>4.1000000000000005</v>
      </c>
      <c r="H261" t="s">
        <v>328</v>
      </c>
      <c r="I261" s="4" t="s">
        <v>826</v>
      </c>
      <c r="K261" t="s">
        <v>676</v>
      </c>
      <c r="L261" t="s">
        <v>669</v>
      </c>
      <c r="N261" t="s">
        <v>690</v>
      </c>
      <c r="O261" t="s">
        <v>687</v>
      </c>
      <c r="P261" t="s">
        <v>688</v>
      </c>
      <c r="Q261" t="s">
        <v>688</v>
      </c>
      <c r="S261" t="s">
        <v>700</v>
      </c>
      <c r="T261" t="s">
        <v>704</v>
      </c>
    </row>
    <row r="262" spans="1:20" x14ac:dyDescent="0.2">
      <c r="A262" t="s">
        <v>640</v>
      </c>
      <c r="B262">
        <v>4</v>
      </c>
      <c r="C262" t="s">
        <v>329</v>
      </c>
      <c r="D262" t="s">
        <v>695</v>
      </c>
      <c r="E262" s="3">
        <v>1.3</v>
      </c>
      <c r="F262" s="3">
        <f>56.6-42.1</f>
        <v>14.5</v>
      </c>
      <c r="G262" s="3">
        <f t="shared" si="5"/>
        <v>9.7000000000000011</v>
      </c>
      <c r="H262" t="s">
        <v>329</v>
      </c>
      <c r="I262" s="4" t="s">
        <v>827</v>
      </c>
      <c r="K262" t="s">
        <v>676</v>
      </c>
      <c r="L262" t="s">
        <v>669</v>
      </c>
      <c r="N262" t="s">
        <v>689</v>
      </c>
      <c r="O262" t="s">
        <v>687</v>
      </c>
      <c r="P262" t="s">
        <v>687</v>
      </c>
      <c r="Q262" t="s">
        <v>687</v>
      </c>
      <c r="S262" t="s">
        <v>700</v>
      </c>
      <c r="T262" t="s">
        <v>704</v>
      </c>
    </row>
    <row r="263" spans="1:20" x14ac:dyDescent="0.2">
      <c r="A263" t="s">
        <v>640</v>
      </c>
      <c r="B263">
        <v>5</v>
      </c>
      <c r="C263" t="s">
        <v>330</v>
      </c>
      <c r="D263" t="s">
        <v>695</v>
      </c>
      <c r="E263" s="3">
        <v>42.2</v>
      </c>
      <c r="F263" s="3">
        <f>80.8-18.4</f>
        <v>62.4</v>
      </c>
      <c r="G263" s="3">
        <f t="shared" si="5"/>
        <v>50.6</v>
      </c>
      <c r="H263" t="s">
        <v>330</v>
      </c>
      <c r="I263" s="4" t="s">
        <v>828</v>
      </c>
      <c r="K263" t="s">
        <v>676</v>
      </c>
      <c r="L263" t="s">
        <v>668</v>
      </c>
      <c r="N263" t="s">
        <v>687</v>
      </c>
      <c r="O263" t="s">
        <v>688</v>
      </c>
      <c r="P263" t="s">
        <v>690</v>
      </c>
      <c r="Q263" t="s">
        <v>687</v>
      </c>
      <c r="S263" t="s">
        <v>700</v>
      </c>
      <c r="T263" t="s">
        <v>704</v>
      </c>
    </row>
    <row r="264" spans="1:20" x14ac:dyDescent="0.2">
      <c r="A264" t="s">
        <v>640</v>
      </c>
      <c r="B264">
        <v>6</v>
      </c>
      <c r="C264" t="s">
        <v>331</v>
      </c>
      <c r="D264" t="s">
        <v>695</v>
      </c>
      <c r="E264" s="3">
        <v>6.4</v>
      </c>
      <c r="F264" s="3">
        <f>64.1-34.8</f>
        <v>29.299999999999997</v>
      </c>
      <c r="G264" s="3">
        <f t="shared" si="5"/>
        <v>14.8</v>
      </c>
      <c r="H264" t="s">
        <v>331</v>
      </c>
      <c r="I264" s="4" t="s">
        <v>829</v>
      </c>
      <c r="K264" t="s">
        <v>676</v>
      </c>
      <c r="L264" t="s">
        <v>668</v>
      </c>
      <c r="N264" t="s">
        <v>689</v>
      </c>
      <c r="O264" t="s">
        <v>688</v>
      </c>
      <c r="P264" t="s">
        <v>688</v>
      </c>
      <c r="Q264" t="s">
        <v>687</v>
      </c>
      <c r="S264" t="s">
        <v>700</v>
      </c>
      <c r="T264" t="s">
        <v>704</v>
      </c>
    </row>
    <row r="265" spans="1:20" x14ac:dyDescent="0.2">
      <c r="A265" t="s">
        <v>640</v>
      </c>
      <c r="B265">
        <v>7</v>
      </c>
      <c r="C265" t="s">
        <v>332</v>
      </c>
      <c r="D265" t="s">
        <v>695</v>
      </c>
      <c r="E265" s="3">
        <v>45.9</v>
      </c>
      <c r="F265" s="3">
        <f>79.4-19.3</f>
        <v>60.100000000000009</v>
      </c>
      <c r="G265" s="3">
        <f t="shared" si="5"/>
        <v>54.3</v>
      </c>
      <c r="H265" s="4" t="s">
        <v>830</v>
      </c>
      <c r="I265" s="4" t="s">
        <v>831</v>
      </c>
      <c r="K265" t="s">
        <v>676</v>
      </c>
      <c r="L265" t="s">
        <v>668</v>
      </c>
      <c r="N265" t="s">
        <v>689</v>
      </c>
      <c r="O265" t="s">
        <v>688</v>
      </c>
      <c r="P265" t="s">
        <v>687</v>
      </c>
      <c r="Q265" t="s">
        <v>689</v>
      </c>
      <c r="S265" t="s">
        <v>700</v>
      </c>
      <c r="T265" t="s">
        <v>704</v>
      </c>
    </row>
    <row r="266" spans="1:20" x14ac:dyDescent="0.2">
      <c r="A266" t="s">
        <v>640</v>
      </c>
      <c r="B266">
        <v>8</v>
      </c>
      <c r="C266" t="s">
        <v>333</v>
      </c>
      <c r="D266" t="s">
        <v>695</v>
      </c>
      <c r="E266" s="3">
        <v>44</v>
      </c>
      <c r="F266" s="3">
        <f>77.2-21.8</f>
        <v>55.400000000000006</v>
      </c>
      <c r="G266" s="3">
        <f t="shared" si="5"/>
        <v>52.4</v>
      </c>
      <c r="H266" t="s">
        <v>333</v>
      </c>
      <c r="I266" s="4" t="s">
        <v>832</v>
      </c>
      <c r="K266" t="s">
        <v>676</v>
      </c>
      <c r="L266" t="s">
        <v>668</v>
      </c>
      <c r="N266" t="s">
        <v>687</v>
      </c>
      <c r="O266" t="s">
        <v>688</v>
      </c>
      <c r="P266" t="s">
        <v>690</v>
      </c>
      <c r="Q266" t="s">
        <v>687</v>
      </c>
      <c r="S266" t="s">
        <v>700</v>
      </c>
      <c r="T266" t="s">
        <v>704</v>
      </c>
    </row>
    <row r="267" spans="1:20" x14ac:dyDescent="0.2">
      <c r="A267" t="s">
        <v>640</v>
      </c>
      <c r="B267">
        <v>9</v>
      </c>
      <c r="C267" t="s">
        <v>334</v>
      </c>
      <c r="D267" t="s">
        <v>695</v>
      </c>
      <c r="E267" s="3">
        <v>40.6</v>
      </c>
      <c r="F267" s="3">
        <f>75.6-23.5</f>
        <v>52.099999999999994</v>
      </c>
      <c r="G267" s="3">
        <f t="shared" si="5"/>
        <v>49</v>
      </c>
      <c r="H267" t="s">
        <v>334</v>
      </c>
      <c r="I267" s="4" t="s">
        <v>833</v>
      </c>
      <c r="K267" t="s">
        <v>676</v>
      </c>
      <c r="L267" t="s">
        <v>668</v>
      </c>
      <c r="N267" t="s">
        <v>687</v>
      </c>
      <c r="O267" t="s">
        <v>688</v>
      </c>
      <c r="P267" t="s">
        <v>690</v>
      </c>
      <c r="Q267" t="s">
        <v>688</v>
      </c>
      <c r="S267" t="s">
        <v>700</v>
      </c>
      <c r="T267" t="s">
        <v>704</v>
      </c>
    </row>
    <row r="268" spans="1:20" x14ac:dyDescent="0.2">
      <c r="A268" t="s">
        <v>640</v>
      </c>
      <c r="B268">
        <v>10</v>
      </c>
      <c r="C268" t="s">
        <v>335</v>
      </c>
      <c r="D268" t="s">
        <v>695</v>
      </c>
      <c r="E268" s="3">
        <v>60.4</v>
      </c>
      <c r="F268" s="3">
        <f>84.5-14.1</f>
        <v>70.400000000000006</v>
      </c>
      <c r="G268" s="3">
        <f t="shared" si="5"/>
        <v>68.8</v>
      </c>
      <c r="H268" s="4" t="s">
        <v>834</v>
      </c>
      <c r="I268" s="4" t="s">
        <v>835</v>
      </c>
      <c r="K268" t="s">
        <v>676</v>
      </c>
      <c r="L268" t="s">
        <v>668</v>
      </c>
      <c r="N268" t="s">
        <v>690</v>
      </c>
      <c r="O268" t="s">
        <v>687</v>
      </c>
      <c r="P268" t="s">
        <v>688</v>
      </c>
      <c r="Q268" t="s">
        <v>687</v>
      </c>
      <c r="S268" t="s">
        <v>700</v>
      </c>
      <c r="T268" t="s">
        <v>704</v>
      </c>
    </row>
    <row r="269" spans="1:20" x14ac:dyDescent="0.2">
      <c r="A269" t="s">
        <v>640</v>
      </c>
      <c r="B269">
        <v>11</v>
      </c>
      <c r="C269" t="s">
        <v>336</v>
      </c>
      <c r="D269" t="s">
        <v>694</v>
      </c>
      <c r="E269" s="3">
        <v>-24.4</v>
      </c>
      <c r="F269" s="3">
        <f>45.6-53.2</f>
        <v>-7.6000000000000014</v>
      </c>
      <c r="G269" s="3">
        <f t="shared" si="5"/>
        <v>-16</v>
      </c>
      <c r="H269" s="4" t="s">
        <v>836</v>
      </c>
      <c r="I269" s="6" t="s">
        <v>336</v>
      </c>
      <c r="K269" t="s">
        <v>676</v>
      </c>
      <c r="L269" t="s">
        <v>669</v>
      </c>
      <c r="N269" t="s">
        <v>689</v>
      </c>
      <c r="O269" t="s">
        <v>687</v>
      </c>
      <c r="P269" t="s">
        <v>688</v>
      </c>
      <c r="Q269" t="s">
        <v>687</v>
      </c>
      <c r="S269" t="s">
        <v>700</v>
      </c>
      <c r="T269" t="s">
        <v>704</v>
      </c>
    </row>
    <row r="270" spans="1:20" x14ac:dyDescent="0.2">
      <c r="A270" t="s">
        <v>640</v>
      </c>
      <c r="B270">
        <v>12</v>
      </c>
      <c r="C270" t="s">
        <v>337</v>
      </c>
      <c r="D270" t="s">
        <v>695</v>
      </c>
      <c r="E270" s="3">
        <v>63.6</v>
      </c>
      <c r="F270" s="3">
        <f>84.8-13.7</f>
        <v>71.099999999999994</v>
      </c>
      <c r="G270" s="3">
        <f t="shared" si="5"/>
        <v>72</v>
      </c>
      <c r="H270" s="4" t="s">
        <v>837</v>
      </c>
      <c r="I270" s="6" t="s">
        <v>838</v>
      </c>
      <c r="K270" t="s">
        <v>676</v>
      </c>
      <c r="L270" t="s">
        <v>668</v>
      </c>
      <c r="N270" t="s">
        <v>690</v>
      </c>
      <c r="O270" t="s">
        <v>689</v>
      </c>
      <c r="P270" t="s">
        <v>688</v>
      </c>
      <c r="Q270" t="s">
        <v>688</v>
      </c>
      <c r="S270" t="s">
        <v>700</v>
      </c>
      <c r="T270" t="s">
        <v>704</v>
      </c>
    </row>
    <row r="271" spans="1:20" x14ac:dyDescent="0.2">
      <c r="A271" t="s">
        <v>640</v>
      </c>
      <c r="B271">
        <v>13</v>
      </c>
      <c r="C271" t="s">
        <v>338</v>
      </c>
      <c r="D271" t="s">
        <v>695</v>
      </c>
      <c r="E271" s="3">
        <v>59.3</v>
      </c>
      <c r="F271" s="3">
        <f>87.9-11</f>
        <v>76.900000000000006</v>
      </c>
      <c r="G271" s="3">
        <f t="shared" si="5"/>
        <v>67.7</v>
      </c>
      <c r="H271" s="4" t="s">
        <v>839</v>
      </c>
      <c r="I271" s="4" t="s">
        <v>840</v>
      </c>
      <c r="K271" t="s">
        <v>676</v>
      </c>
      <c r="L271" t="s">
        <v>668</v>
      </c>
      <c r="N271" t="s">
        <v>687</v>
      </c>
      <c r="O271" t="s">
        <v>688</v>
      </c>
      <c r="P271" t="s">
        <v>689</v>
      </c>
      <c r="Q271" t="s">
        <v>690</v>
      </c>
      <c r="S271" t="s">
        <v>700</v>
      </c>
      <c r="T271" t="s">
        <v>704</v>
      </c>
    </row>
    <row r="272" spans="1:20" x14ac:dyDescent="0.2">
      <c r="A272" t="s">
        <v>640</v>
      </c>
      <c r="B272">
        <v>14</v>
      </c>
      <c r="C272" t="s">
        <v>339</v>
      </c>
      <c r="D272" t="s">
        <v>695</v>
      </c>
      <c r="E272" s="3">
        <v>31.8</v>
      </c>
      <c r="F272" s="3">
        <f>77-22</f>
        <v>55</v>
      </c>
      <c r="G272" s="3">
        <f t="shared" si="5"/>
        <v>40.200000000000003</v>
      </c>
      <c r="H272" s="6" t="s">
        <v>339</v>
      </c>
      <c r="I272" s="4" t="s">
        <v>841</v>
      </c>
      <c r="K272" t="s">
        <v>676</v>
      </c>
      <c r="L272" t="s">
        <v>668</v>
      </c>
      <c r="N272" t="s">
        <v>687</v>
      </c>
      <c r="O272" t="s">
        <v>688</v>
      </c>
      <c r="P272" t="s">
        <v>687</v>
      </c>
      <c r="Q272" t="s">
        <v>690</v>
      </c>
      <c r="S272" t="s">
        <v>700</v>
      </c>
      <c r="T272" t="s">
        <v>704</v>
      </c>
    </row>
    <row r="273" spans="1:20" x14ac:dyDescent="0.2">
      <c r="A273" t="s">
        <v>640</v>
      </c>
      <c r="B273">
        <v>15</v>
      </c>
      <c r="C273" t="s">
        <v>340</v>
      </c>
      <c r="D273" t="s">
        <v>695</v>
      </c>
      <c r="E273" s="3">
        <v>48.3</v>
      </c>
      <c r="F273" s="3">
        <f>84.8-14.4</f>
        <v>70.399999999999991</v>
      </c>
      <c r="G273" s="3">
        <f t="shared" si="5"/>
        <v>56.699999999999996</v>
      </c>
      <c r="H273" s="6" t="s">
        <v>340</v>
      </c>
      <c r="I273" s="4" t="s">
        <v>842</v>
      </c>
      <c r="K273" t="s">
        <v>676</v>
      </c>
      <c r="L273" t="s">
        <v>668</v>
      </c>
      <c r="N273" t="s">
        <v>688</v>
      </c>
      <c r="O273" t="s">
        <v>688</v>
      </c>
      <c r="P273" t="s">
        <v>689</v>
      </c>
      <c r="Q273" t="s">
        <v>690</v>
      </c>
      <c r="S273" t="s">
        <v>700</v>
      </c>
      <c r="T273" t="s">
        <v>704</v>
      </c>
    </row>
    <row r="274" spans="1:20" x14ac:dyDescent="0.2">
      <c r="A274" t="s">
        <v>640</v>
      </c>
      <c r="B274">
        <v>16</v>
      </c>
      <c r="C274" t="s">
        <v>341</v>
      </c>
      <c r="D274" t="s">
        <v>695</v>
      </c>
      <c r="E274" s="3">
        <v>33.1</v>
      </c>
      <c r="F274" s="3">
        <f>71.8-27.2</f>
        <v>44.599999999999994</v>
      </c>
      <c r="G274" s="3">
        <f t="shared" si="5"/>
        <v>41.5</v>
      </c>
      <c r="H274" s="6" t="s">
        <v>341</v>
      </c>
      <c r="I274" s="4" t="s">
        <v>843</v>
      </c>
      <c r="K274" t="s">
        <v>663</v>
      </c>
      <c r="L274" t="s">
        <v>669</v>
      </c>
      <c r="N274" t="s">
        <v>690</v>
      </c>
      <c r="O274" t="s">
        <v>688</v>
      </c>
      <c r="P274" t="s">
        <v>689</v>
      </c>
      <c r="Q274" t="s">
        <v>687</v>
      </c>
      <c r="S274" t="s">
        <v>700</v>
      </c>
      <c r="T274" t="s">
        <v>704</v>
      </c>
    </row>
    <row r="275" spans="1:20" x14ac:dyDescent="0.2">
      <c r="A275" t="s">
        <v>640</v>
      </c>
      <c r="B275">
        <v>17</v>
      </c>
      <c r="C275" t="s">
        <v>342</v>
      </c>
      <c r="D275" t="s">
        <v>694</v>
      </c>
      <c r="E275" s="3">
        <v>0.6</v>
      </c>
      <c r="F275" s="3">
        <f>54.4-44.3</f>
        <v>10.100000000000001</v>
      </c>
      <c r="G275" s="3">
        <f t="shared" si="5"/>
        <v>9</v>
      </c>
      <c r="H275" s="4" t="s">
        <v>844</v>
      </c>
      <c r="I275" s="6" t="s">
        <v>342</v>
      </c>
      <c r="K275" t="s">
        <v>663</v>
      </c>
      <c r="L275" t="s">
        <v>669</v>
      </c>
      <c r="N275" t="s">
        <v>690</v>
      </c>
      <c r="O275" t="s">
        <v>689</v>
      </c>
      <c r="P275" t="s">
        <v>688</v>
      </c>
      <c r="Q275" t="s">
        <v>687</v>
      </c>
      <c r="S275" t="s">
        <v>700</v>
      </c>
      <c r="T275" t="s">
        <v>704</v>
      </c>
    </row>
    <row r="276" spans="1:20" x14ac:dyDescent="0.2">
      <c r="A276" t="s">
        <v>640</v>
      </c>
      <c r="B276">
        <v>18</v>
      </c>
      <c r="C276" t="s">
        <v>343</v>
      </c>
      <c r="D276" t="s">
        <v>695</v>
      </c>
      <c r="E276" s="3">
        <v>3.3</v>
      </c>
      <c r="F276" s="3">
        <f>53.7-44.6</f>
        <v>9.1000000000000014</v>
      </c>
      <c r="G276" s="3">
        <f t="shared" si="5"/>
        <v>11.7</v>
      </c>
      <c r="H276" s="6" t="s">
        <v>343</v>
      </c>
      <c r="I276" s="4" t="s">
        <v>845</v>
      </c>
      <c r="K276" t="s">
        <v>663</v>
      </c>
      <c r="L276" t="s">
        <v>670</v>
      </c>
      <c r="N276" t="s">
        <v>687</v>
      </c>
      <c r="O276" t="s">
        <v>689</v>
      </c>
      <c r="P276" t="s">
        <v>688</v>
      </c>
      <c r="Q276" t="s">
        <v>687</v>
      </c>
      <c r="S276" t="s">
        <v>700</v>
      </c>
      <c r="T276" t="s">
        <v>704</v>
      </c>
    </row>
    <row r="277" spans="1:20" x14ac:dyDescent="0.2">
      <c r="A277" t="s">
        <v>640</v>
      </c>
      <c r="B277">
        <v>19</v>
      </c>
      <c r="C277" t="s">
        <v>344</v>
      </c>
      <c r="D277" t="s">
        <v>695</v>
      </c>
      <c r="E277" s="3">
        <v>1.8</v>
      </c>
      <c r="F277" s="3">
        <f>51.1-46.7</f>
        <v>4.3999999999999986</v>
      </c>
      <c r="G277" s="3">
        <f t="shared" si="5"/>
        <v>10.200000000000001</v>
      </c>
      <c r="H277" s="6" t="s">
        <v>344</v>
      </c>
      <c r="I277" s="4" t="s">
        <v>846</v>
      </c>
      <c r="K277" t="s">
        <v>663</v>
      </c>
      <c r="L277" t="s">
        <v>670</v>
      </c>
      <c r="N277" t="s">
        <v>687</v>
      </c>
      <c r="O277" t="s">
        <v>690</v>
      </c>
      <c r="P277" t="s">
        <v>688</v>
      </c>
      <c r="Q277" t="s">
        <v>688</v>
      </c>
      <c r="S277" t="s">
        <v>700</v>
      </c>
      <c r="T277" t="s">
        <v>704</v>
      </c>
    </row>
    <row r="278" spans="1:20" x14ac:dyDescent="0.2">
      <c r="A278" t="s">
        <v>640</v>
      </c>
      <c r="B278">
        <v>20</v>
      </c>
      <c r="C278" t="s">
        <v>345</v>
      </c>
      <c r="D278" t="s">
        <v>695</v>
      </c>
      <c r="E278" s="3">
        <f>56.5-42.3</f>
        <v>14.200000000000003</v>
      </c>
      <c r="F278" s="3">
        <f>58.4-39.3</f>
        <v>19.100000000000001</v>
      </c>
      <c r="G278" s="3">
        <f t="shared" si="5"/>
        <v>22.6</v>
      </c>
      <c r="H278" s="6" t="s">
        <v>345</v>
      </c>
      <c r="I278" s="4" t="s">
        <v>847</v>
      </c>
      <c r="K278" t="s">
        <v>663</v>
      </c>
      <c r="L278" t="s">
        <v>668</v>
      </c>
      <c r="N278" t="s">
        <v>689</v>
      </c>
      <c r="O278" t="s">
        <v>689</v>
      </c>
      <c r="P278" t="s">
        <v>687</v>
      </c>
      <c r="Q278" t="s">
        <v>688</v>
      </c>
      <c r="S278" t="s">
        <v>700</v>
      </c>
      <c r="T278" t="s">
        <v>704</v>
      </c>
    </row>
    <row r="279" spans="1:20" x14ac:dyDescent="0.2">
      <c r="A279" t="s">
        <v>640</v>
      </c>
      <c r="B279">
        <v>21</v>
      </c>
      <c r="C279" t="s">
        <v>346</v>
      </c>
      <c r="D279" t="s">
        <v>694</v>
      </c>
      <c r="E279" s="3">
        <v>-20.7</v>
      </c>
      <c r="F279" s="3">
        <f>41.1-56.8</f>
        <v>-15.699999999999996</v>
      </c>
      <c r="G279" s="3">
        <f t="shared" si="5"/>
        <v>-12.299999999999999</v>
      </c>
      <c r="H279" s="4" t="s">
        <v>849</v>
      </c>
      <c r="I279" s="4" t="s">
        <v>848</v>
      </c>
      <c r="K279" t="s">
        <v>663</v>
      </c>
      <c r="L279" t="s">
        <v>671</v>
      </c>
      <c r="N279" t="s">
        <v>688</v>
      </c>
      <c r="O279" t="s">
        <v>690</v>
      </c>
      <c r="P279" t="s">
        <v>688</v>
      </c>
      <c r="Q279" t="s">
        <v>688</v>
      </c>
      <c r="S279" t="s">
        <v>700</v>
      </c>
      <c r="T279" t="s">
        <v>704</v>
      </c>
    </row>
    <row r="280" spans="1:20" x14ac:dyDescent="0.2">
      <c r="A280" t="s">
        <v>640</v>
      </c>
      <c r="B280">
        <v>22</v>
      </c>
      <c r="C280" t="s">
        <v>347</v>
      </c>
      <c r="D280" t="s">
        <v>695</v>
      </c>
      <c r="E280" s="3">
        <v>7.7</v>
      </c>
      <c r="F280" s="3">
        <f>54.5-43.2</f>
        <v>11.299999999999997</v>
      </c>
      <c r="G280" s="3">
        <f t="shared" si="5"/>
        <v>16.100000000000001</v>
      </c>
      <c r="H280" s="6" t="s">
        <v>347</v>
      </c>
      <c r="I280" s="4" t="s">
        <v>850</v>
      </c>
      <c r="K280" t="s">
        <v>663</v>
      </c>
      <c r="L280" t="s">
        <v>672</v>
      </c>
      <c r="N280" t="s">
        <v>689</v>
      </c>
      <c r="O280" t="s">
        <v>690</v>
      </c>
      <c r="P280" t="s">
        <v>688</v>
      </c>
      <c r="Q280" t="s">
        <v>688</v>
      </c>
      <c r="S280" t="s">
        <v>700</v>
      </c>
      <c r="T280" t="s">
        <v>704</v>
      </c>
    </row>
    <row r="281" spans="1:20" x14ac:dyDescent="0.2">
      <c r="A281" t="s">
        <v>640</v>
      </c>
      <c r="B281">
        <v>23</v>
      </c>
      <c r="C281" t="s">
        <v>348</v>
      </c>
      <c r="D281" t="s">
        <v>694</v>
      </c>
      <c r="E281" s="3">
        <v>-21</v>
      </c>
      <c r="F281" s="3">
        <f>39.9-58</f>
        <v>-18.100000000000001</v>
      </c>
      <c r="G281" s="3">
        <f t="shared" si="5"/>
        <v>-12.6</v>
      </c>
      <c r="H281" s="4" t="s">
        <v>851</v>
      </c>
      <c r="I281" s="6" t="s">
        <v>348</v>
      </c>
      <c r="K281" t="s">
        <v>663</v>
      </c>
      <c r="L281" t="s">
        <v>671</v>
      </c>
      <c r="N281" t="s">
        <v>687</v>
      </c>
      <c r="O281" t="s">
        <v>690</v>
      </c>
      <c r="P281" t="s">
        <v>688</v>
      </c>
      <c r="Q281" t="s">
        <v>688</v>
      </c>
      <c r="S281" t="s">
        <v>700</v>
      </c>
      <c r="T281" t="s">
        <v>704</v>
      </c>
    </row>
    <row r="282" spans="1:20" x14ac:dyDescent="0.2">
      <c r="A282" t="s">
        <v>640</v>
      </c>
      <c r="B282">
        <v>24</v>
      </c>
      <c r="C282" t="s">
        <v>349</v>
      </c>
      <c r="D282" t="s">
        <v>694</v>
      </c>
      <c r="E282" s="3">
        <v>-23.1</v>
      </c>
      <c r="F282" s="3">
        <f>38.7-58.9</f>
        <v>-20.199999999999996</v>
      </c>
      <c r="G282" s="3">
        <f t="shared" si="5"/>
        <v>-14.700000000000003</v>
      </c>
      <c r="H282" s="4" t="s">
        <v>852</v>
      </c>
      <c r="I282" s="6" t="s">
        <v>349</v>
      </c>
      <c r="K282" t="s">
        <v>663</v>
      </c>
      <c r="L282" t="s">
        <v>671</v>
      </c>
      <c r="N282" t="s">
        <v>688</v>
      </c>
      <c r="O282" t="s">
        <v>690</v>
      </c>
      <c r="P282" t="s">
        <v>688</v>
      </c>
      <c r="Q282" t="s">
        <v>688</v>
      </c>
      <c r="S282" t="s">
        <v>700</v>
      </c>
      <c r="T282" t="s">
        <v>704</v>
      </c>
    </row>
    <row r="283" spans="1:20" x14ac:dyDescent="0.2">
      <c r="A283" t="s">
        <v>640</v>
      </c>
      <c r="B283">
        <v>25</v>
      </c>
      <c r="C283" t="s">
        <v>350</v>
      </c>
      <c r="D283" t="s">
        <v>695</v>
      </c>
      <c r="E283" s="3">
        <v>18.399999999999999</v>
      </c>
      <c r="F283" s="3">
        <f>59-38.5</f>
        <v>20.5</v>
      </c>
      <c r="G283" s="3">
        <f t="shared" si="5"/>
        <v>26.799999999999997</v>
      </c>
      <c r="H283" s="6" t="s">
        <v>853</v>
      </c>
      <c r="I283" s="4" t="s">
        <v>854</v>
      </c>
      <c r="K283" t="s">
        <v>663</v>
      </c>
      <c r="L283" t="s">
        <v>672</v>
      </c>
      <c r="N283" t="s">
        <v>689</v>
      </c>
      <c r="O283" t="s">
        <v>689</v>
      </c>
      <c r="P283" t="s">
        <v>687</v>
      </c>
      <c r="Q283" t="s">
        <v>688</v>
      </c>
      <c r="S283" t="s">
        <v>700</v>
      </c>
      <c r="T283" t="s">
        <v>704</v>
      </c>
    </row>
    <row r="284" spans="1:20" x14ac:dyDescent="0.2">
      <c r="A284" t="s">
        <v>640</v>
      </c>
      <c r="B284">
        <v>26</v>
      </c>
      <c r="C284" t="s">
        <v>351</v>
      </c>
      <c r="D284" t="s">
        <v>695</v>
      </c>
      <c r="E284" s="3">
        <v>19.3</v>
      </c>
      <c r="F284" s="3">
        <f>61.6-36.5</f>
        <v>25.1</v>
      </c>
      <c r="G284" s="3">
        <f t="shared" si="5"/>
        <v>27.700000000000003</v>
      </c>
      <c r="H284" s="6" t="s">
        <v>351</v>
      </c>
      <c r="I284" s="4" t="s">
        <v>855</v>
      </c>
      <c r="K284" t="s">
        <v>663</v>
      </c>
      <c r="L284" t="s">
        <v>668</v>
      </c>
      <c r="N284" t="s">
        <v>689</v>
      </c>
      <c r="O284" t="s">
        <v>689</v>
      </c>
      <c r="P284" t="s">
        <v>687</v>
      </c>
      <c r="Q284" t="s">
        <v>688</v>
      </c>
      <c r="S284" t="s">
        <v>700</v>
      </c>
      <c r="T284" t="s">
        <v>704</v>
      </c>
    </row>
    <row r="285" spans="1:20" x14ac:dyDescent="0.2">
      <c r="A285" t="s">
        <v>641</v>
      </c>
      <c r="B285">
        <v>1</v>
      </c>
      <c r="C285" t="s">
        <v>352</v>
      </c>
      <c r="D285" t="s">
        <v>695</v>
      </c>
      <c r="E285" s="3">
        <v>-11.6</v>
      </c>
      <c r="F285" s="3">
        <f>46-52.9</f>
        <v>-6.8999999999999986</v>
      </c>
      <c r="G285" s="3">
        <f t="shared" si="5"/>
        <v>-3.1999999999999993</v>
      </c>
      <c r="H285" t="s">
        <v>352</v>
      </c>
      <c r="I285" s="4" t="s">
        <v>353</v>
      </c>
      <c r="J285" s="4"/>
      <c r="K285" t="s">
        <v>676</v>
      </c>
      <c r="L285" t="s">
        <v>671</v>
      </c>
      <c r="N285" t="s">
        <v>688</v>
      </c>
      <c r="O285" t="s">
        <v>687</v>
      </c>
      <c r="P285" t="s">
        <v>689</v>
      </c>
      <c r="Q285" t="s">
        <v>688</v>
      </c>
      <c r="S285" t="s">
        <v>700</v>
      </c>
      <c r="T285" t="s">
        <v>704</v>
      </c>
    </row>
    <row r="286" spans="1:20" x14ac:dyDescent="0.2">
      <c r="A286" t="s">
        <v>641</v>
      </c>
      <c r="B286">
        <v>2</v>
      </c>
      <c r="C286" t="s">
        <v>354</v>
      </c>
      <c r="D286" t="s">
        <v>695</v>
      </c>
      <c r="E286" s="3">
        <v>34.299999999999997</v>
      </c>
      <c r="F286" s="3">
        <f>66.7-31.4</f>
        <v>35.300000000000004</v>
      </c>
      <c r="G286" s="3">
        <f t="shared" si="5"/>
        <v>42.699999999999996</v>
      </c>
      <c r="H286" t="s">
        <v>354</v>
      </c>
      <c r="I286" s="4" t="s">
        <v>355</v>
      </c>
      <c r="J286" s="4"/>
      <c r="K286" t="s">
        <v>676</v>
      </c>
      <c r="L286" t="s">
        <v>668</v>
      </c>
      <c r="N286" t="s">
        <v>690</v>
      </c>
      <c r="O286" t="s">
        <v>687</v>
      </c>
      <c r="P286" t="s">
        <v>687</v>
      </c>
      <c r="Q286" t="s">
        <v>688</v>
      </c>
      <c r="S286" t="s">
        <v>700</v>
      </c>
      <c r="T286" t="s">
        <v>704</v>
      </c>
    </row>
    <row r="287" spans="1:20" x14ac:dyDescent="0.2">
      <c r="A287" t="s">
        <v>641</v>
      </c>
      <c r="B287">
        <v>3</v>
      </c>
      <c r="C287" t="s">
        <v>356</v>
      </c>
      <c r="D287" t="s">
        <v>694</v>
      </c>
      <c r="E287" s="3">
        <v>-13.6</v>
      </c>
      <c r="F287" s="3">
        <f>45.1-53.4</f>
        <v>-8.2999999999999972</v>
      </c>
      <c r="G287" s="3">
        <f t="shared" si="5"/>
        <v>-5.1999999999999993</v>
      </c>
      <c r="H287" s="4" t="s">
        <v>357</v>
      </c>
      <c r="I287" t="s">
        <v>356</v>
      </c>
      <c r="K287" t="s">
        <v>676</v>
      </c>
      <c r="L287" t="s">
        <v>671</v>
      </c>
      <c r="N287" t="s">
        <v>688</v>
      </c>
      <c r="O287" t="s">
        <v>687</v>
      </c>
      <c r="P287" t="s">
        <v>689</v>
      </c>
      <c r="Q287" t="s">
        <v>688</v>
      </c>
      <c r="S287" t="s">
        <v>700</v>
      </c>
      <c r="T287" t="s">
        <v>704</v>
      </c>
    </row>
    <row r="288" spans="1:20" x14ac:dyDescent="0.2">
      <c r="A288" t="s">
        <v>641</v>
      </c>
      <c r="B288">
        <v>4</v>
      </c>
      <c r="C288" t="s">
        <v>358</v>
      </c>
      <c r="D288" t="s">
        <v>695</v>
      </c>
      <c r="E288" s="3">
        <v>45.3</v>
      </c>
      <c r="F288" s="3">
        <f>72.2-26.2</f>
        <v>46</v>
      </c>
      <c r="G288" s="3">
        <f t="shared" si="5"/>
        <v>53.699999999999996</v>
      </c>
      <c r="H288" s="6" t="s">
        <v>358</v>
      </c>
      <c r="I288" s="4" t="s">
        <v>359</v>
      </c>
      <c r="J288" s="4"/>
      <c r="K288" t="s">
        <v>676</v>
      </c>
      <c r="L288" t="s">
        <v>668</v>
      </c>
      <c r="N288" t="s">
        <v>690</v>
      </c>
      <c r="O288" t="s">
        <v>687</v>
      </c>
      <c r="P288" t="s">
        <v>687</v>
      </c>
      <c r="Q288" t="s">
        <v>688</v>
      </c>
      <c r="S288" t="s">
        <v>700</v>
      </c>
      <c r="T288" t="s">
        <v>704</v>
      </c>
    </row>
    <row r="289" spans="1:20" x14ac:dyDescent="0.2">
      <c r="A289" t="s">
        <v>641</v>
      </c>
      <c r="B289">
        <v>5</v>
      </c>
      <c r="C289" t="s">
        <v>360</v>
      </c>
      <c r="D289" t="s">
        <v>694</v>
      </c>
      <c r="E289" s="3">
        <v>-17.8</v>
      </c>
      <c r="F289" s="3">
        <f>41.7-57.1</f>
        <v>-15.399999999999999</v>
      </c>
      <c r="G289" s="3">
        <f t="shared" si="5"/>
        <v>-9.4</v>
      </c>
      <c r="H289" s="4" t="s">
        <v>361</v>
      </c>
      <c r="I289" t="s">
        <v>360</v>
      </c>
      <c r="K289" t="s">
        <v>676</v>
      </c>
      <c r="L289" t="s">
        <v>671</v>
      </c>
      <c r="N289" t="s">
        <v>688</v>
      </c>
      <c r="O289" t="s">
        <v>689</v>
      </c>
      <c r="P289" t="s">
        <v>687</v>
      </c>
      <c r="Q289" t="s">
        <v>688</v>
      </c>
      <c r="S289" t="s">
        <v>700</v>
      </c>
      <c r="T289" t="s">
        <v>704</v>
      </c>
    </row>
    <row r="290" spans="1:20" x14ac:dyDescent="0.2">
      <c r="A290" t="s">
        <v>641</v>
      </c>
      <c r="B290">
        <v>6</v>
      </c>
      <c r="C290" t="s">
        <v>362</v>
      </c>
      <c r="D290" t="s">
        <v>694</v>
      </c>
      <c r="E290" s="3">
        <v>-17</v>
      </c>
      <c r="F290" s="3">
        <f>41.1-57.4</f>
        <v>-16.299999999999997</v>
      </c>
      <c r="G290" s="3">
        <f t="shared" si="5"/>
        <v>-8.6</v>
      </c>
      <c r="H290" s="4" t="s">
        <v>363</v>
      </c>
      <c r="I290" t="s">
        <v>362</v>
      </c>
      <c r="K290" t="s">
        <v>676</v>
      </c>
      <c r="L290" t="s">
        <v>671</v>
      </c>
      <c r="N290" t="s">
        <v>687</v>
      </c>
      <c r="O290" t="s">
        <v>689</v>
      </c>
      <c r="P290" t="s">
        <v>687</v>
      </c>
      <c r="Q290" t="s">
        <v>688</v>
      </c>
      <c r="S290" t="s">
        <v>700</v>
      </c>
      <c r="T290" t="s">
        <v>704</v>
      </c>
    </row>
    <row r="291" spans="1:20" x14ac:dyDescent="0.2">
      <c r="A291" t="s">
        <v>641</v>
      </c>
      <c r="B291">
        <v>7</v>
      </c>
      <c r="C291" t="s">
        <v>364</v>
      </c>
      <c r="D291" t="s">
        <v>694</v>
      </c>
      <c r="E291" s="3">
        <v>-13.8</v>
      </c>
      <c r="F291" s="3">
        <f>43.8-54.8</f>
        <v>-11</v>
      </c>
      <c r="G291" s="3">
        <f t="shared" si="5"/>
        <v>-5.4</v>
      </c>
      <c r="H291" s="4" t="s">
        <v>365</v>
      </c>
      <c r="I291" t="s">
        <v>366</v>
      </c>
      <c r="K291" t="s">
        <v>676</v>
      </c>
      <c r="L291" t="s">
        <v>671</v>
      </c>
      <c r="N291" t="s">
        <v>687</v>
      </c>
      <c r="O291" t="s">
        <v>689</v>
      </c>
      <c r="P291" t="s">
        <v>687</v>
      </c>
      <c r="Q291" t="s">
        <v>688</v>
      </c>
      <c r="S291" t="s">
        <v>700</v>
      </c>
      <c r="T291" t="s">
        <v>704</v>
      </c>
    </row>
    <row r="292" spans="1:20" x14ac:dyDescent="0.2">
      <c r="A292" t="s">
        <v>641</v>
      </c>
      <c r="B292">
        <v>8</v>
      </c>
      <c r="C292" t="s">
        <v>367</v>
      </c>
      <c r="D292" t="s">
        <v>694</v>
      </c>
      <c r="E292" s="3">
        <v>-19.600000000000001</v>
      </c>
      <c r="F292" s="3">
        <f>40.5-58.2</f>
        <v>-17.700000000000003</v>
      </c>
      <c r="G292" s="3">
        <f t="shared" si="5"/>
        <v>-11.200000000000001</v>
      </c>
      <c r="H292" s="4" t="s">
        <v>368</v>
      </c>
      <c r="I292" t="s">
        <v>367</v>
      </c>
      <c r="K292" t="s">
        <v>676</v>
      </c>
      <c r="L292" t="s">
        <v>671</v>
      </c>
      <c r="N292" t="s">
        <v>687</v>
      </c>
      <c r="O292" t="s">
        <v>689</v>
      </c>
      <c r="P292" t="s">
        <v>687</v>
      </c>
      <c r="Q292" t="s">
        <v>688</v>
      </c>
      <c r="S292" t="s">
        <v>700</v>
      </c>
      <c r="T292" t="s">
        <v>704</v>
      </c>
    </row>
    <row r="293" spans="1:20" x14ac:dyDescent="0.2">
      <c r="A293" t="s">
        <v>641</v>
      </c>
      <c r="B293">
        <v>9</v>
      </c>
      <c r="C293" t="s">
        <v>369</v>
      </c>
      <c r="D293" t="s">
        <v>694</v>
      </c>
      <c r="E293" s="3">
        <v>-15.8</v>
      </c>
      <c r="F293" s="3">
        <f>42.4-56.2</f>
        <v>-13.800000000000004</v>
      </c>
      <c r="G293" s="3">
        <f t="shared" si="5"/>
        <v>-7.4</v>
      </c>
      <c r="H293" s="4" t="s">
        <v>370</v>
      </c>
      <c r="I293" t="s">
        <v>369</v>
      </c>
      <c r="K293" t="s">
        <v>676</v>
      </c>
      <c r="L293" t="s">
        <v>671</v>
      </c>
      <c r="N293" t="s">
        <v>687</v>
      </c>
      <c r="O293" t="s">
        <v>689</v>
      </c>
      <c r="P293" t="s">
        <v>687</v>
      </c>
      <c r="Q293" t="s">
        <v>688</v>
      </c>
      <c r="S293" t="s">
        <v>700</v>
      </c>
      <c r="T293" t="s">
        <v>704</v>
      </c>
    </row>
    <row r="294" spans="1:20" x14ac:dyDescent="0.2">
      <c r="A294" t="s">
        <v>641</v>
      </c>
      <c r="B294">
        <v>10</v>
      </c>
      <c r="C294" t="s">
        <v>371</v>
      </c>
      <c r="D294" t="s">
        <v>694</v>
      </c>
      <c r="E294" s="3">
        <v>-17.7</v>
      </c>
      <c r="F294" s="3">
        <f>41.3-57.3</f>
        <v>-16</v>
      </c>
      <c r="G294" s="3">
        <f t="shared" si="5"/>
        <v>-9.2999999999999989</v>
      </c>
      <c r="H294" s="4" t="s">
        <v>372</v>
      </c>
      <c r="I294" t="s">
        <v>371</v>
      </c>
      <c r="K294" t="s">
        <v>676</v>
      </c>
      <c r="L294" t="s">
        <v>671</v>
      </c>
      <c r="N294" t="s">
        <v>687</v>
      </c>
      <c r="O294" t="s">
        <v>689</v>
      </c>
      <c r="P294" t="s">
        <v>687</v>
      </c>
      <c r="Q294" t="s">
        <v>688</v>
      </c>
      <c r="S294" t="s">
        <v>700</v>
      </c>
      <c r="T294" t="s">
        <v>704</v>
      </c>
    </row>
    <row r="295" spans="1:20" x14ac:dyDescent="0.2">
      <c r="A295" t="s">
        <v>641</v>
      </c>
      <c r="B295">
        <v>11</v>
      </c>
      <c r="C295" t="s">
        <v>373</v>
      </c>
      <c r="D295" t="s">
        <v>694</v>
      </c>
      <c r="E295" s="3">
        <v>-9.5</v>
      </c>
      <c r="F295" s="3">
        <f>43.7-54.7</f>
        <v>-11</v>
      </c>
      <c r="G295" s="3">
        <f t="shared" si="5"/>
        <v>-1.0999999999999996</v>
      </c>
      <c r="H295" s="4" t="s">
        <v>374</v>
      </c>
      <c r="I295" t="s">
        <v>375</v>
      </c>
      <c r="K295" t="s">
        <v>680</v>
      </c>
      <c r="L295" t="s">
        <v>671</v>
      </c>
      <c r="N295" t="s">
        <v>687</v>
      </c>
      <c r="O295" t="s">
        <v>690</v>
      </c>
      <c r="P295" t="s">
        <v>688</v>
      </c>
      <c r="Q295" t="s">
        <v>688</v>
      </c>
      <c r="S295" t="s">
        <v>700</v>
      </c>
      <c r="T295" t="s">
        <v>704</v>
      </c>
    </row>
    <row r="296" spans="1:20" x14ac:dyDescent="0.2">
      <c r="A296" t="s">
        <v>641</v>
      </c>
      <c r="B296">
        <v>12</v>
      </c>
      <c r="C296" t="s">
        <v>376</v>
      </c>
      <c r="D296" t="s">
        <v>695</v>
      </c>
      <c r="E296" s="3">
        <v>46.2</v>
      </c>
      <c r="F296" s="3">
        <f>74.1-24.1</f>
        <v>49.999999999999993</v>
      </c>
      <c r="G296" s="3">
        <f t="shared" si="5"/>
        <v>54.6</v>
      </c>
      <c r="H296" s="6" t="s">
        <v>376</v>
      </c>
      <c r="I296" s="4" t="s">
        <v>377</v>
      </c>
      <c r="J296" s="4"/>
      <c r="K296" t="s">
        <v>676</v>
      </c>
      <c r="L296" t="s">
        <v>668</v>
      </c>
      <c r="N296" t="s">
        <v>689</v>
      </c>
      <c r="O296" t="s">
        <v>688</v>
      </c>
      <c r="P296" t="s">
        <v>689</v>
      </c>
      <c r="Q296" t="s">
        <v>687</v>
      </c>
      <c r="S296" t="s">
        <v>700</v>
      </c>
      <c r="T296" t="s">
        <v>704</v>
      </c>
    </row>
    <row r="297" spans="1:20" x14ac:dyDescent="0.2">
      <c r="A297" t="s">
        <v>641</v>
      </c>
      <c r="B297">
        <v>13</v>
      </c>
      <c r="C297" t="s">
        <v>378</v>
      </c>
      <c r="D297" t="s">
        <v>694</v>
      </c>
      <c r="E297" s="3">
        <v>-16.8</v>
      </c>
      <c r="F297" s="3">
        <f>40.6-57.8</f>
        <v>-17.199999999999996</v>
      </c>
      <c r="G297" s="3">
        <f t="shared" si="5"/>
        <v>-8.4</v>
      </c>
      <c r="H297" s="4" t="s">
        <v>379</v>
      </c>
      <c r="I297" t="s">
        <v>378</v>
      </c>
      <c r="K297" t="s">
        <v>676</v>
      </c>
      <c r="L297" t="s">
        <v>671</v>
      </c>
      <c r="N297" t="s">
        <v>687</v>
      </c>
      <c r="O297" t="s">
        <v>689</v>
      </c>
      <c r="P297" t="s">
        <v>687</v>
      </c>
      <c r="Q297" t="s">
        <v>688</v>
      </c>
      <c r="S297" t="s">
        <v>700</v>
      </c>
      <c r="T297" t="s">
        <v>704</v>
      </c>
    </row>
    <row r="298" spans="1:20" x14ac:dyDescent="0.2">
      <c r="A298" t="s">
        <v>641</v>
      </c>
      <c r="B298">
        <v>14</v>
      </c>
      <c r="C298" t="s">
        <v>380</v>
      </c>
      <c r="D298" t="s">
        <v>694</v>
      </c>
      <c r="E298" s="3">
        <v>-15.1</v>
      </c>
      <c r="F298" s="3">
        <f>41.3-57.4</f>
        <v>-16.100000000000001</v>
      </c>
      <c r="G298" s="3">
        <f t="shared" si="5"/>
        <v>-6.6999999999999993</v>
      </c>
      <c r="H298" s="4" t="s">
        <v>381</v>
      </c>
      <c r="I298" t="s">
        <v>380</v>
      </c>
      <c r="K298" t="s">
        <v>676</v>
      </c>
      <c r="L298" t="s">
        <v>671</v>
      </c>
      <c r="N298" t="s">
        <v>687</v>
      </c>
      <c r="O298" t="s">
        <v>689</v>
      </c>
      <c r="P298" t="s">
        <v>687</v>
      </c>
      <c r="Q298" t="s">
        <v>688</v>
      </c>
      <c r="S298" t="s">
        <v>700</v>
      </c>
      <c r="T298" t="s">
        <v>704</v>
      </c>
    </row>
    <row r="299" spans="1:20" x14ac:dyDescent="0.2">
      <c r="A299" t="s">
        <v>642</v>
      </c>
      <c r="B299" s="5" t="s">
        <v>17</v>
      </c>
      <c r="C299" t="s">
        <v>382</v>
      </c>
      <c r="D299" t="s">
        <v>694</v>
      </c>
      <c r="E299" s="3">
        <v>-36.799999999999997</v>
      </c>
      <c r="F299" s="3">
        <f>31.8-65.1</f>
        <v>-33.299999999999997</v>
      </c>
      <c r="G299" s="3">
        <f t="shared" si="5"/>
        <v>-28.4</v>
      </c>
      <c r="H299" s="4" t="s">
        <v>779</v>
      </c>
      <c r="I299" t="s">
        <v>778</v>
      </c>
      <c r="K299" t="s">
        <v>679</v>
      </c>
      <c r="L299" t="s">
        <v>671</v>
      </c>
      <c r="N299" t="s">
        <v>687</v>
      </c>
      <c r="O299" t="s">
        <v>690</v>
      </c>
      <c r="P299" t="s">
        <v>688</v>
      </c>
      <c r="Q299" t="s">
        <v>688</v>
      </c>
      <c r="S299" t="s">
        <v>700</v>
      </c>
      <c r="T299" t="s">
        <v>703</v>
      </c>
    </row>
    <row r="300" spans="1:20" x14ac:dyDescent="0.2">
      <c r="A300" t="s">
        <v>643</v>
      </c>
      <c r="B300">
        <v>1</v>
      </c>
      <c r="C300" t="s">
        <v>383</v>
      </c>
      <c r="D300" t="s">
        <v>695</v>
      </c>
      <c r="E300" s="3">
        <v>-2.5</v>
      </c>
      <c r="F300" s="3">
        <f>49.3-49.1</f>
        <v>0.19999999999999574</v>
      </c>
      <c r="G300" s="3">
        <f t="shared" si="5"/>
        <v>5.9</v>
      </c>
      <c r="H300" s="6" t="s">
        <v>383</v>
      </c>
      <c r="I300" s="4" t="s">
        <v>384</v>
      </c>
      <c r="J300" s="4"/>
      <c r="K300" t="s">
        <v>664</v>
      </c>
      <c r="L300" t="s">
        <v>669</v>
      </c>
      <c r="N300" t="s">
        <v>689</v>
      </c>
      <c r="O300" t="s">
        <v>689</v>
      </c>
      <c r="P300" t="s">
        <v>687</v>
      </c>
      <c r="Q300" t="s">
        <v>688</v>
      </c>
      <c r="S300" t="s">
        <v>700</v>
      </c>
      <c r="T300" t="s">
        <v>704</v>
      </c>
    </row>
    <row r="301" spans="1:20" x14ac:dyDescent="0.2">
      <c r="A301" t="s">
        <v>643</v>
      </c>
      <c r="B301">
        <v>2</v>
      </c>
      <c r="C301" t="s">
        <v>385</v>
      </c>
      <c r="D301" t="s">
        <v>694</v>
      </c>
      <c r="E301" s="3">
        <v>-42.1</v>
      </c>
      <c r="F301" s="3">
        <f>29.5-69.1</f>
        <v>-39.599999999999994</v>
      </c>
      <c r="G301" s="3">
        <f t="shared" si="5"/>
        <v>-33.700000000000003</v>
      </c>
      <c r="H301" s="4" t="s">
        <v>386</v>
      </c>
      <c r="I301" s="6" t="s">
        <v>385</v>
      </c>
      <c r="J301" s="6"/>
      <c r="K301" t="s">
        <v>664</v>
      </c>
      <c r="L301" t="s">
        <v>671</v>
      </c>
      <c r="N301" t="s">
        <v>688</v>
      </c>
      <c r="O301" t="s">
        <v>690</v>
      </c>
      <c r="P301" t="s">
        <v>688</v>
      </c>
      <c r="Q301" t="s">
        <v>688</v>
      </c>
      <c r="S301" t="s">
        <v>700</v>
      </c>
      <c r="T301" t="s">
        <v>704</v>
      </c>
    </row>
    <row r="302" spans="1:20" x14ac:dyDescent="0.2">
      <c r="A302" t="s">
        <v>643</v>
      </c>
      <c r="B302">
        <v>3</v>
      </c>
      <c r="C302" t="s">
        <v>387</v>
      </c>
      <c r="D302" t="s">
        <v>695</v>
      </c>
      <c r="E302" s="3">
        <v>40.200000000000003</v>
      </c>
      <c r="F302" s="3">
        <f>71.1-27.4</f>
        <v>43.699999999999996</v>
      </c>
      <c r="G302" s="3">
        <f t="shared" si="5"/>
        <v>48.6</v>
      </c>
      <c r="H302" t="s">
        <v>387</v>
      </c>
      <c r="I302" s="4" t="s">
        <v>388</v>
      </c>
      <c r="J302" s="4"/>
      <c r="K302" t="s">
        <v>664</v>
      </c>
      <c r="L302" t="s">
        <v>668</v>
      </c>
      <c r="N302" t="s">
        <v>689</v>
      </c>
      <c r="O302" t="s">
        <v>687</v>
      </c>
      <c r="P302" t="s">
        <v>687</v>
      </c>
      <c r="Q302" t="s">
        <v>688</v>
      </c>
      <c r="S302" t="s">
        <v>700</v>
      </c>
      <c r="T302" t="s">
        <v>704</v>
      </c>
    </row>
    <row r="303" spans="1:20" x14ac:dyDescent="0.2">
      <c r="A303" t="s">
        <v>643</v>
      </c>
      <c r="B303">
        <v>4</v>
      </c>
      <c r="C303" t="s">
        <v>389</v>
      </c>
      <c r="D303" t="s">
        <v>694</v>
      </c>
      <c r="E303" s="3">
        <v>-42.6</v>
      </c>
      <c r="F303" s="3">
        <f>29-69.4</f>
        <v>-40.400000000000006</v>
      </c>
      <c r="G303" s="3">
        <f t="shared" si="5"/>
        <v>-34.200000000000003</v>
      </c>
      <c r="H303" s="4" t="s">
        <v>390</v>
      </c>
      <c r="I303" s="6" t="s">
        <v>389</v>
      </c>
      <c r="J303" s="6"/>
      <c r="K303" t="s">
        <v>664</v>
      </c>
      <c r="L303" t="s">
        <v>671</v>
      </c>
      <c r="N303" t="s">
        <v>688</v>
      </c>
      <c r="O303" t="s">
        <v>690</v>
      </c>
      <c r="P303" t="s">
        <v>688</v>
      </c>
      <c r="Q303" t="s">
        <v>688</v>
      </c>
      <c r="S303" t="s">
        <v>700</v>
      </c>
      <c r="T303" t="s">
        <v>704</v>
      </c>
    </row>
    <row r="304" spans="1:20" x14ac:dyDescent="0.2">
      <c r="A304" t="s">
        <v>643</v>
      </c>
      <c r="B304">
        <v>5</v>
      </c>
      <c r="C304" t="s">
        <v>391</v>
      </c>
      <c r="D304" t="s">
        <v>694</v>
      </c>
      <c r="E304" s="3">
        <v>-23.7</v>
      </c>
      <c r="F304" s="3">
        <f>38.6-59.8</f>
        <v>-21.199999999999996</v>
      </c>
      <c r="G304" s="3">
        <f t="shared" si="5"/>
        <v>-15.299999999999997</v>
      </c>
      <c r="H304" s="4" t="s">
        <v>392</v>
      </c>
      <c r="I304" s="6" t="s">
        <v>391</v>
      </c>
      <c r="J304" s="6"/>
      <c r="K304" t="s">
        <v>664</v>
      </c>
      <c r="L304" t="s">
        <v>671</v>
      </c>
      <c r="N304" t="s">
        <v>688</v>
      </c>
      <c r="O304" t="s">
        <v>690</v>
      </c>
      <c r="P304" t="s">
        <v>688</v>
      </c>
      <c r="Q304" t="s">
        <v>688</v>
      </c>
      <c r="S304" t="s">
        <v>700</v>
      </c>
      <c r="T304" t="s">
        <v>704</v>
      </c>
    </row>
    <row r="305" spans="1:20" x14ac:dyDescent="0.2">
      <c r="A305" t="s">
        <v>643</v>
      </c>
      <c r="B305">
        <v>6</v>
      </c>
      <c r="C305" t="s">
        <v>393</v>
      </c>
      <c r="D305" t="s">
        <v>694</v>
      </c>
      <c r="E305" s="3">
        <v>-34.6</v>
      </c>
      <c r="F305" s="3">
        <f>34.4-64.2</f>
        <v>-29.800000000000004</v>
      </c>
      <c r="G305" s="3">
        <f t="shared" si="5"/>
        <v>-26.200000000000003</v>
      </c>
      <c r="H305" s="4" t="s">
        <v>394</v>
      </c>
      <c r="I305" s="6" t="s">
        <v>393</v>
      </c>
      <c r="J305" s="6"/>
      <c r="K305" t="s">
        <v>680</v>
      </c>
      <c r="L305" t="s">
        <v>671</v>
      </c>
      <c r="N305" t="s">
        <v>688</v>
      </c>
      <c r="O305" t="s">
        <v>690</v>
      </c>
      <c r="P305" t="s">
        <v>688</v>
      </c>
      <c r="Q305" t="s">
        <v>688</v>
      </c>
      <c r="S305" t="s">
        <v>700</v>
      </c>
      <c r="T305" t="s">
        <v>704</v>
      </c>
    </row>
    <row r="306" spans="1:20" x14ac:dyDescent="0.2">
      <c r="A306" t="s">
        <v>643</v>
      </c>
      <c r="B306">
        <v>7</v>
      </c>
      <c r="C306" t="s">
        <v>395</v>
      </c>
      <c r="D306" t="s">
        <v>694</v>
      </c>
      <c r="E306" s="3">
        <v>-11</v>
      </c>
      <c r="F306" s="3">
        <f>44.6-54.2</f>
        <v>-9.6000000000000014</v>
      </c>
      <c r="G306" s="3">
        <f t="shared" si="5"/>
        <v>-2.5999999999999996</v>
      </c>
      <c r="H306" s="4" t="s">
        <v>396</v>
      </c>
      <c r="I306" s="6" t="s">
        <v>395</v>
      </c>
      <c r="J306" s="6"/>
      <c r="K306" t="s">
        <v>664</v>
      </c>
      <c r="L306" t="s">
        <v>672</v>
      </c>
      <c r="N306" t="s">
        <v>689</v>
      </c>
      <c r="O306" t="s">
        <v>690</v>
      </c>
      <c r="P306" t="s">
        <v>688</v>
      </c>
      <c r="Q306" t="s">
        <v>688</v>
      </c>
      <c r="S306" t="s">
        <v>700</v>
      </c>
      <c r="T306" t="s">
        <v>704</v>
      </c>
    </row>
    <row r="307" spans="1:20" x14ac:dyDescent="0.2">
      <c r="A307" t="s">
        <v>643</v>
      </c>
      <c r="B307">
        <v>8</v>
      </c>
      <c r="C307" t="s">
        <v>397</v>
      </c>
      <c r="D307" t="s">
        <v>694</v>
      </c>
      <c r="E307" s="3">
        <v>-15.6</v>
      </c>
      <c r="F307" s="3">
        <f>41.9-56.6</f>
        <v>-14.700000000000003</v>
      </c>
      <c r="G307" s="3">
        <f t="shared" si="5"/>
        <v>-7.1999999999999993</v>
      </c>
      <c r="H307" s="4" t="s">
        <v>398</v>
      </c>
      <c r="I307" s="6" t="s">
        <v>397</v>
      </c>
      <c r="J307" s="6"/>
      <c r="K307" t="s">
        <v>664</v>
      </c>
      <c r="L307" t="s">
        <v>671</v>
      </c>
      <c r="N307" t="s">
        <v>687</v>
      </c>
      <c r="O307" t="s">
        <v>690</v>
      </c>
      <c r="P307" t="s">
        <v>687</v>
      </c>
      <c r="Q307" t="s">
        <v>688</v>
      </c>
      <c r="S307" t="s">
        <v>700</v>
      </c>
      <c r="T307" t="s">
        <v>704</v>
      </c>
    </row>
    <row r="308" spans="1:20" x14ac:dyDescent="0.2">
      <c r="A308" t="s">
        <v>643</v>
      </c>
      <c r="B308">
        <v>9</v>
      </c>
      <c r="C308" t="s">
        <v>399</v>
      </c>
      <c r="D308" t="s">
        <v>695</v>
      </c>
      <c r="E308" s="3">
        <v>-10.5</v>
      </c>
      <c r="F308" s="3">
        <f>45.8-52.5</f>
        <v>-6.7000000000000028</v>
      </c>
      <c r="G308" s="3">
        <f t="shared" si="5"/>
        <v>-2.0999999999999996</v>
      </c>
      <c r="H308" t="s">
        <v>399</v>
      </c>
      <c r="I308" s="4" t="s">
        <v>400</v>
      </c>
      <c r="J308" s="4"/>
      <c r="K308" t="s">
        <v>664</v>
      </c>
      <c r="L308" t="s">
        <v>672</v>
      </c>
      <c r="N308" t="s">
        <v>687</v>
      </c>
      <c r="O308" t="s">
        <v>690</v>
      </c>
      <c r="P308" t="s">
        <v>687</v>
      </c>
      <c r="Q308" t="s">
        <v>688</v>
      </c>
      <c r="S308" t="s">
        <v>700</v>
      </c>
      <c r="T308" t="s">
        <v>704</v>
      </c>
    </row>
    <row r="309" spans="1:20" x14ac:dyDescent="0.2">
      <c r="A309" t="s">
        <v>643</v>
      </c>
      <c r="B309">
        <v>10</v>
      </c>
      <c r="C309" t="s">
        <v>401</v>
      </c>
      <c r="D309" t="s">
        <v>694</v>
      </c>
      <c r="E309" s="3">
        <v>-7.7</v>
      </c>
      <c r="F309" s="3">
        <f>46.3-52.1</f>
        <v>-5.8000000000000043</v>
      </c>
      <c r="G309" s="3">
        <f t="shared" si="5"/>
        <v>0.70000000000000018</v>
      </c>
      <c r="H309" s="4" t="s">
        <v>402</v>
      </c>
      <c r="I309" s="6" t="s">
        <v>401</v>
      </c>
      <c r="J309" s="6"/>
      <c r="K309" t="s">
        <v>664</v>
      </c>
      <c r="L309" t="s">
        <v>669</v>
      </c>
      <c r="N309" t="s">
        <v>687</v>
      </c>
      <c r="O309" t="s">
        <v>689</v>
      </c>
      <c r="P309" t="s">
        <v>687</v>
      </c>
      <c r="Q309" t="s">
        <v>688</v>
      </c>
      <c r="S309" t="s">
        <v>700</v>
      </c>
      <c r="T309" t="s">
        <v>704</v>
      </c>
    </row>
    <row r="310" spans="1:20" x14ac:dyDescent="0.2">
      <c r="A310" t="s">
        <v>643</v>
      </c>
      <c r="B310">
        <v>11</v>
      </c>
      <c r="C310" t="s">
        <v>403</v>
      </c>
      <c r="D310" t="s">
        <v>695</v>
      </c>
      <c r="E310" s="3">
        <v>55</v>
      </c>
      <c r="F310" s="3">
        <f>78.3-20.7</f>
        <v>57.599999999999994</v>
      </c>
      <c r="G310" s="3">
        <f t="shared" si="5"/>
        <v>63.4</v>
      </c>
      <c r="H310" t="s">
        <v>403</v>
      </c>
      <c r="I310" s="4" t="s">
        <v>404</v>
      </c>
      <c r="J310" s="4"/>
      <c r="K310" t="s">
        <v>664</v>
      </c>
      <c r="L310" t="s">
        <v>668</v>
      </c>
      <c r="N310" t="s">
        <v>687</v>
      </c>
      <c r="O310" t="s">
        <v>688</v>
      </c>
      <c r="P310" t="s">
        <v>689</v>
      </c>
      <c r="Q310" t="s">
        <v>688</v>
      </c>
      <c r="S310" t="s">
        <v>700</v>
      </c>
      <c r="T310" t="s">
        <v>704</v>
      </c>
    </row>
    <row r="311" spans="1:20" x14ac:dyDescent="0.2">
      <c r="A311" t="s">
        <v>643</v>
      </c>
      <c r="B311">
        <v>12</v>
      </c>
      <c r="C311" t="s">
        <v>405</v>
      </c>
      <c r="D311" t="s">
        <v>694</v>
      </c>
      <c r="E311" s="3">
        <v>-30</v>
      </c>
      <c r="F311" s="3">
        <f>34.8-63.7</f>
        <v>-28.900000000000006</v>
      </c>
      <c r="G311" s="3">
        <f t="shared" si="5"/>
        <v>-21.6</v>
      </c>
      <c r="H311" s="4" t="s">
        <v>406</v>
      </c>
      <c r="I311" t="s">
        <v>405</v>
      </c>
      <c r="K311" t="s">
        <v>664</v>
      </c>
      <c r="L311" t="s">
        <v>670</v>
      </c>
      <c r="N311" t="s">
        <v>687</v>
      </c>
      <c r="O311" t="s">
        <v>690</v>
      </c>
      <c r="P311" t="s">
        <v>688</v>
      </c>
      <c r="Q311" t="s">
        <v>688</v>
      </c>
      <c r="S311" t="s">
        <v>700</v>
      </c>
      <c r="T311" t="s">
        <v>704</v>
      </c>
    </row>
    <row r="312" spans="1:20" x14ac:dyDescent="0.2">
      <c r="A312" t="s">
        <v>643</v>
      </c>
      <c r="B312">
        <v>13</v>
      </c>
      <c r="C312" t="s">
        <v>407</v>
      </c>
      <c r="D312" t="s">
        <v>695</v>
      </c>
      <c r="E312" s="3">
        <v>3.2</v>
      </c>
      <c r="F312" s="3">
        <f>52.2-46.3</f>
        <v>5.9000000000000057</v>
      </c>
      <c r="G312" s="3">
        <f t="shared" si="5"/>
        <v>11.600000000000001</v>
      </c>
      <c r="H312" t="s">
        <v>407</v>
      </c>
      <c r="I312" s="4" t="s">
        <v>408</v>
      </c>
      <c r="J312" s="4"/>
      <c r="K312" t="s">
        <v>664</v>
      </c>
      <c r="L312" t="s">
        <v>672</v>
      </c>
      <c r="N312" t="s">
        <v>687</v>
      </c>
      <c r="O312" t="s">
        <v>690</v>
      </c>
      <c r="P312" t="s">
        <v>687</v>
      </c>
      <c r="Q312" t="s">
        <v>688</v>
      </c>
      <c r="S312" t="s">
        <v>700</v>
      </c>
      <c r="T312" t="s">
        <v>704</v>
      </c>
    </row>
    <row r="313" spans="1:20" x14ac:dyDescent="0.2">
      <c r="A313" t="s">
        <v>643</v>
      </c>
      <c r="B313">
        <v>14</v>
      </c>
      <c r="C313" t="s">
        <v>409</v>
      </c>
      <c r="D313" t="s">
        <v>694</v>
      </c>
      <c r="E313" s="3">
        <v>-20.3</v>
      </c>
      <c r="F313" s="3">
        <f>40.8-57.9</f>
        <v>-17.100000000000001</v>
      </c>
      <c r="G313" s="3">
        <f t="shared" si="5"/>
        <v>-11.9</v>
      </c>
      <c r="H313" s="4" t="s">
        <v>410</v>
      </c>
      <c r="I313" t="s">
        <v>409</v>
      </c>
      <c r="K313" t="s">
        <v>664</v>
      </c>
      <c r="L313" t="s">
        <v>672</v>
      </c>
      <c r="N313" t="s">
        <v>687</v>
      </c>
      <c r="O313" t="s">
        <v>690</v>
      </c>
      <c r="P313" t="s">
        <v>688</v>
      </c>
      <c r="Q313" t="s">
        <v>688</v>
      </c>
      <c r="S313" t="s">
        <v>700</v>
      </c>
      <c r="T313" t="s">
        <v>704</v>
      </c>
    </row>
    <row r="314" spans="1:20" x14ac:dyDescent="0.2">
      <c r="A314" t="s">
        <v>643</v>
      </c>
      <c r="B314">
        <v>15</v>
      </c>
      <c r="C314" t="s">
        <v>411</v>
      </c>
      <c r="D314" t="s">
        <v>694</v>
      </c>
      <c r="E314" s="3">
        <v>-10</v>
      </c>
      <c r="F314" s="3">
        <f>45.5-52.9</f>
        <v>-7.3999999999999986</v>
      </c>
      <c r="G314" s="3">
        <f t="shared" si="5"/>
        <v>-1.5999999999999996</v>
      </c>
      <c r="H314" s="4" t="s">
        <v>412</v>
      </c>
      <c r="I314" t="s">
        <v>411</v>
      </c>
      <c r="K314" t="s">
        <v>664</v>
      </c>
      <c r="L314" t="s">
        <v>670</v>
      </c>
      <c r="N314" t="s">
        <v>687</v>
      </c>
      <c r="O314" t="s">
        <v>690</v>
      </c>
      <c r="P314" t="s">
        <v>687</v>
      </c>
      <c r="Q314" t="s">
        <v>688</v>
      </c>
      <c r="S314" t="s">
        <v>700</v>
      </c>
      <c r="T314" t="s">
        <v>704</v>
      </c>
    </row>
    <row r="315" spans="1:20" x14ac:dyDescent="0.2">
      <c r="A315" t="s">
        <v>644</v>
      </c>
      <c r="B315">
        <v>1</v>
      </c>
      <c r="C315" t="s">
        <v>413</v>
      </c>
      <c r="D315" t="s">
        <v>694</v>
      </c>
      <c r="E315" s="3">
        <v>-21.5</v>
      </c>
      <c r="F315" s="3">
        <f>38-59.4</f>
        <v>-21.4</v>
      </c>
      <c r="G315" s="3">
        <f t="shared" si="5"/>
        <v>-13.1</v>
      </c>
      <c r="H315" s="4" t="s">
        <v>815</v>
      </c>
      <c r="K315" t="s">
        <v>679</v>
      </c>
      <c r="L315" t="s">
        <v>671</v>
      </c>
      <c r="N315" t="s">
        <v>687</v>
      </c>
      <c r="O315" t="s">
        <v>687</v>
      </c>
      <c r="P315" t="s">
        <v>687</v>
      </c>
      <c r="Q315" t="s">
        <v>688</v>
      </c>
      <c r="S315" t="s">
        <v>700</v>
      </c>
      <c r="T315" t="s">
        <v>703</v>
      </c>
    </row>
    <row r="316" spans="1:20" x14ac:dyDescent="0.2">
      <c r="A316" t="s">
        <v>644</v>
      </c>
      <c r="B316">
        <v>2</v>
      </c>
      <c r="C316" t="s">
        <v>414</v>
      </c>
      <c r="D316" t="s">
        <v>694</v>
      </c>
      <c r="E316" s="3">
        <v>-55.6</v>
      </c>
      <c r="F316" s="3">
        <f>22.4-75.8</f>
        <v>-53.4</v>
      </c>
      <c r="G316" s="3">
        <f t="shared" si="5"/>
        <v>-47.2</v>
      </c>
      <c r="H316" s="4" t="s">
        <v>816</v>
      </c>
      <c r="I316" t="s">
        <v>414</v>
      </c>
      <c r="K316" t="s">
        <v>679</v>
      </c>
      <c r="L316" t="s">
        <v>671</v>
      </c>
      <c r="N316" t="s">
        <v>688</v>
      </c>
      <c r="O316" t="s">
        <v>689</v>
      </c>
      <c r="P316" t="s">
        <v>688</v>
      </c>
      <c r="Q316" t="s">
        <v>688</v>
      </c>
      <c r="S316" t="s">
        <v>700</v>
      </c>
      <c r="T316" t="s">
        <v>703</v>
      </c>
    </row>
    <row r="317" spans="1:20" x14ac:dyDescent="0.2">
      <c r="A317" t="s">
        <v>644</v>
      </c>
      <c r="B317">
        <v>3</v>
      </c>
      <c r="C317" t="s">
        <v>415</v>
      </c>
      <c r="D317" t="s">
        <v>694</v>
      </c>
      <c r="E317" s="3">
        <v>-44.8</v>
      </c>
      <c r="F317" s="3">
        <f>27.5-70.3</f>
        <v>-42.8</v>
      </c>
      <c r="G317" s="3">
        <f t="shared" si="5"/>
        <v>-36.4</v>
      </c>
      <c r="H317" s="4" t="s">
        <v>819</v>
      </c>
      <c r="I317" t="s">
        <v>415</v>
      </c>
      <c r="K317" t="s">
        <v>679</v>
      </c>
      <c r="L317" t="s">
        <v>671</v>
      </c>
      <c r="N317" t="s">
        <v>688</v>
      </c>
      <c r="O317" t="s">
        <v>689</v>
      </c>
      <c r="P317" t="s">
        <v>688</v>
      </c>
      <c r="Q317" t="s">
        <v>687</v>
      </c>
      <c r="S317" t="s">
        <v>700</v>
      </c>
      <c r="T317" t="s">
        <v>703</v>
      </c>
    </row>
    <row r="318" spans="1:20" x14ac:dyDescent="0.2">
      <c r="A318" t="s">
        <v>644</v>
      </c>
      <c r="B318">
        <v>4</v>
      </c>
      <c r="C318" t="s">
        <v>416</v>
      </c>
      <c r="D318" t="s">
        <v>694</v>
      </c>
      <c r="E318" s="3">
        <v>-32.9</v>
      </c>
      <c r="F318" s="3">
        <f>33.3-64.2</f>
        <v>-30.900000000000006</v>
      </c>
      <c r="G318" s="3">
        <f t="shared" si="5"/>
        <v>-24.5</v>
      </c>
      <c r="H318" s="4" t="s">
        <v>821</v>
      </c>
      <c r="I318" t="s">
        <v>416</v>
      </c>
      <c r="K318" t="s">
        <v>679</v>
      </c>
      <c r="L318" t="s">
        <v>671</v>
      </c>
      <c r="N318" t="s">
        <v>687</v>
      </c>
      <c r="O318" t="s">
        <v>689</v>
      </c>
      <c r="P318" t="s">
        <v>688</v>
      </c>
      <c r="Q318" t="s">
        <v>688</v>
      </c>
      <c r="S318" t="s">
        <v>700</v>
      </c>
      <c r="T318" t="s">
        <v>703</v>
      </c>
    </row>
    <row r="319" spans="1:20" x14ac:dyDescent="0.2">
      <c r="A319" t="s">
        <v>644</v>
      </c>
      <c r="B319">
        <v>5</v>
      </c>
      <c r="C319" t="s">
        <v>417</v>
      </c>
      <c r="D319" t="s">
        <v>694</v>
      </c>
      <c r="E319" s="3">
        <v>-18.2</v>
      </c>
      <c r="F319" s="3">
        <f>39.5-57.9</f>
        <v>-18.399999999999999</v>
      </c>
      <c r="G319" s="3">
        <f t="shared" si="5"/>
        <v>-9.7999999999999989</v>
      </c>
      <c r="H319" s="4" t="s">
        <v>822</v>
      </c>
      <c r="I319" t="s">
        <v>417</v>
      </c>
      <c r="K319" t="s">
        <v>679</v>
      </c>
      <c r="L319" t="s">
        <v>672</v>
      </c>
      <c r="N319" t="s">
        <v>689</v>
      </c>
      <c r="O319" t="s">
        <v>689</v>
      </c>
      <c r="P319" t="s">
        <v>687</v>
      </c>
      <c r="Q319" t="s">
        <v>688</v>
      </c>
      <c r="S319" t="s">
        <v>700</v>
      </c>
      <c r="T319" t="s">
        <v>703</v>
      </c>
    </row>
    <row r="320" spans="1:20" x14ac:dyDescent="0.2">
      <c r="A320" t="s">
        <v>645</v>
      </c>
      <c r="B320">
        <v>1</v>
      </c>
      <c r="C320" t="s">
        <v>418</v>
      </c>
      <c r="D320" t="s">
        <v>695</v>
      </c>
      <c r="E320" s="3">
        <v>37.6</v>
      </c>
      <c r="F320" s="3">
        <f>67.7-28.9</f>
        <v>38.800000000000004</v>
      </c>
      <c r="G320" s="3">
        <f t="shared" si="5"/>
        <v>46</v>
      </c>
      <c r="H320" s="6" t="s">
        <v>418</v>
      </c>
      <c r="I320" s="4" t="s">
        <v>419</v>
      </c>
      <c r="J320" s="4"/>
      <c r="K320" t="s">
        <v>667</v>
      </c>
      <c r="L320" t="s">
        <v>669</v>
      </c>
      <c r="N320" t="s">
        <v>689</v>
      </c>
      <c r="O320" t="s">
        <v>689</v>
      </c>
      <c r="P320" t="s">
        <v>688</v>
      </c>
      <c r="Q320" t="s">
        <v>688</v>
      </c>
      <c r="S320" t="s">
        <v>700</v>
      </c>
      <c r="T320" t="s">
        <v>704</v>
      </c>
    </row>
    <row r="321" spans="1:20" x14ac:dyDescent="0.2">
      <c r="A321" t="s">
        <v>645</v>
      </c>
      <c r="B321">
        <v>2</v>
      </c>
      <c r="C321" t="s">
        <v>420</v>
      </c>
      <c r="D321" t="s">
        <v>694</v>
      </c>
      <c r="E321" s="3">
        <v>-27.1</v>
      </c>
      <c r="F321" s="3">
        <f>36.4-60.7</f>
        <v>-24.300000000000004</v>
      </c>
      <c r="G321" s="3">
        <f t="shared" si="5"/>
        <v>-18.700000000000003</v>
      </c>
      <c r="H321" s="4" t="s">
        <v>421</v>
      </c>
      <c r="I321" s="6" t="s">
        <v>420</v>
      </c>
      <c r="J321" s="6"/>
      <c r="K321" t="s">
        <v>667</v>
      </c>
      <c r="L321" t="s">
        <v>671</v>
      </c>
      <c r="N321" t="s">
        <v>688</v>
      </c>
      <c r="O321" t="s">
        <v>690</v>
      </c>
      <c r="P321" t="s">
        <v>688</v>
      </c>
      <c r="Q321" t="s">
        <v>688</v>
      </c>
      <c r="S321" t="s">
        <v>700</v>
      </c>
      <c r="T321" t="s">
        <v>704</v>
      </c>
    </row>
    <row r="322" spans="1:20" x14ac:dyDescent="0.2">
      <c r="A322" t="s">
        <v>645</v>
      </c>
      <c r="B322">
        <v>3</v>
      </c>
      <c r="C322" t="s">
        <v>422</v>
      </c>
      <c r="D322" t="s">
        <v>695</v>
      </c>
      <c r="E322" s="3">
        <v>45.6</v>
      </c>
      <c r="F322" s="3">
        <f>72-25</f>
        <v>47</v>
      </c>
      <c r="G322" s="3">
        <f t="shared" ref="G322:G385" si="6">E322+6.9+1.5</f>
        <v>54</v>
      </c>
      <c r="H322" s="6" t="s">
        <v>422</v>
      </c>
      <c r="I322" s="4" t="s">
        <v>423</v>
      </c>
      <c r="J322" s="4"/>
      <c r="K322" t="s">
        <v>667</v>
      </c>
      <c r="L322" t="s">
        <v>668</v>
      </c>
      <c r="N322" t="s">
        <v>690</v>
      </c>
      <c r="O322" t="s">
        <v>689</v>
      </c>
      <c r="P322" t="s">
        <v>688</v>
      </c>
      <c r="Q322" t="s">
        <v>688</v>
      </c>
      <c r="S322" t="s">
        <v>700</v>
      </c>
      <c r="T322" t="s">
        <v>704</v>
      </c>
    </row>
    <row r="323" spans="1:20" x14ac:dyDescent="0.2">
      <c r="A323" t="s">
        <v>645</v>
      </c>
      <c r="B323">
        <v>4</v>
      </c>
      <c r="C323" t="s">
        <v>424</v>
      </c>
      <c r="D323" t="s">
        <v>695</v>
      </c>
      <c r="E323" s="3">
        <v>12</v>
      </c>
      <c r="F323" s="3">
        <f>54.7-42</f>
        <v>12.700000000000003</v>
      </c>
      <c r="G323" s="3">
        <f t="shared" si="6"/>
        <v>20.399999999999999</v>
      </c>
      <c r="H323" s="6" t="s">
        <v>424</v>
      </c>
      <c r="I323" s="4" t="s">
        <v>425</v>
      </c>
      <c r="J323" s="4"/>
      <c r="K323" t="s">
        <v>667</v>
      </c>
      <c r="L323" t="s">
        <v>672</v>
      </c>
      <c r="N323" t="s">
        <v>687</v>
      </c>
      <c r="O323" t="s">
        <v>690</v>
      </c>
      <c r="P323" t="s">
        <v>688</v>
      </c>
      <c r="Q323" t="s">
        <v>688</v>
      </c>
      <c r="S323" t="s">
        <v>700</v>
      </c>
      <c r="T323" t="s">
        <v>704</v>
      </c>
    </row>
    <row r="324" spans="1:20" x14ac:dyDescent="0.2">
      <c r="A324" t="s">
        <v>645</v>
      </c>
      <c r="B324">
        <v>5</v>
      </c>
      <c r="C324" t="s">
        <v>426</v>
      </c>
      <c r="D324" t="s">
        <v>695</v>
      </c>
      <c r="E324" s="3">
        <v>8.6</v>
      </c>
      <c r="F324" s="3">
        <f>52.8-44</f>
        <v>8.7999999999999972</v>
      </c>
      <c r="G324" s="3">
        <f t="shared" si="6"/>
        <v>17</v>
      </c>
      <c r="H324" s="6" t="s">
        <v>426</v>
      </c>
      <c r="I324" s="4" t="s">
        <v>427</v>
      </c>
      <c r="J324" s="4"/>
      <c r="K324" t="s">
        <v>667</v>
      </c>
      <c r="L324" t="s">
        <v>672</v>
      </c>
      <c r="N324" t="s">
        <v>689</v>
      </c>
      <c r="O324" t="s">
        <v>690</v>
      </c>
      <c r="P324" t="s">
        <v>688</v>
      </c>
      <c r="Q324" t="s">
        <v>688</v>
      </c>
      <c r="S324" t="s">
        <v>700</v>
      </c>
      <c r="T324" t="s">
        <v>704</v>
      </c>
    </row>
    <row r="325" spans="1:20" x14ac:dyDescent="0.2">
      <c r="A325" t="s">
        <v>645</v>
      </c>
      <c r="B325">
        <v>6</v>
      </c>
      <c r="C325" t="s">
        <v>428</v>
      </c>
      <c r="D325" t="s">
        <v>695</v>
      </c>
      <c r="E325" s="3">
        <v>11.3</v>
      </c>
      <c r="F325" s="3">
        <f>54.8-41.7</f>
        <v>13.099999999999994</v>
      </c>
      <c r="G325" s="3">
        <f t="shared" si="6"/>
        <v>19.700000000000003</v>
      </c>
      <c r="H325" s="6" t="s">
        <v>428</v>
      </c>
      <c r="I325" s="4" t="s">
        <v>429</v>
      </c>
      <c r="J325" s="4"/>
      <c r="K325" t="s">
        <v>667</v>
      </c>
      <c r="L325" t="s">
        <v>672</v>
      </c>
      <c r="N325" t="s">
        <v>687</v>
      </c>
      <c r="O325" t="s">
        <v>689</v>
      </c>
      <c r="P325" t="s">
        <v>688</v>
      </c>
      <c r="Q325" t="s">
        <v>687</v>
      </c>
      <c r="S325" t="s">
        <v>700</v>
      </c>
      <c r="T325" t="s">
        <v>704</v>
      </c>
    </row>
    <row r="326" spans="1:20" x14ac:dyDescent="0.2">
      <c r="A326" t="s">
        <v>646</v>
      </c>
      <c r="B326">
        <v>1</v>
      </c>
      <c r="C326" t="s">
        <v>430</v>
      </c>
      <c r="D326" t="s">
        <v>694</v>
      </c>
      <c r="E326" s="3">
        <v>0.3</v>
      </c>
      <c r="F326" s="3">
        <f>51.8-47.2</f>
        <v>4.5999999999999943</v>
      </c>
      <c r="G326" s="3">
        <f t="shared" si="6"/>
        <v>8.6999999999999993</v>
      </c>
      <c r="H326" s="4" t="s">
        <v>431</v>
      </c>
      <c r="I326" t="s">
        <v>430</v>
      </c>
      <c r="K326" t="s">
        <v>676</v>
      </c>
      <c r="L326" t="s">
        <v>669</v>
      </c>
      <c r="N326" t="s">
        <v>689</v>
      </c>
      <c r="O326" t="s">
        <v>690</v>
      </c>
      <c r="P326" t="s">
        <v>688</v>
      </c>
      <c r="Q326" t="s">
        <v>688</v>
      </c>
      <c r="S326" t="s">
        <v>700</v>
      </c>
      <c r="T326" t="s">
        <v>704</v>
      </c>
    </row>
    <row r="327" spans="1:20" x14ac:dyDescent="0.2">
      <c r="A327" t="s">
        <v>646</v>
      </c>
      <c r="B327">
        <v>2</v>
      </c>
      <c r="C327" t="s">
        <v>432</v>
      </c>
      <c r="D327" t="s">
        <v>695</v>
      </c>
      <c r="E327" s="3">
        <v>35.700000000000003</v>
      </c>
      <c r="F327" s="3">
        <f>71-28.3</f>
        <v>42.7</v>
      </c>
      <c r="G327" s="3">
        <f t="shared" si="6"/>
        <v>44.1</v>
      </c>
      <c r="H327" t="s">
        <v>432</v>
      </c>
      <c r="I327" s="4" t="s">
        <v>433</v>
      </c>
      <c r="J327" s="4"/>
      <c r="K327" t="s">
        <v>676</v>
      </c>
      <c r="L327" t="s">
        <v>668</v>
      </c>
      <c r="N327" t="s">
        <v>687</v>
      </c>
      <c r="O327" t="s">
        <v>688</v>
      </c>
      <c r="P327" t="s">
        <v>689</v>
      </c>
      <c r="Q327" t="s">
        <v>687</v>
      </c>
      <c r="S327" t="s">
        <v>700</v>
      </c>
      <c r="T327" t="s">
        <v>704</v>
      </c>
    </row>
    <row r="328" spans="1:20" x14ac:dyDescent="0.2">
      <c r="A328" t="s">
        <v>646</v>
      </c>
      <c r="B328">
        <v>3</v>
      </c>
      <c r="C328" t="s">
        <v>434</v>
      </c>
      <c r="D328" t="s">
        <v>695</v>
      </c>
      <c r="E328" s="3">
        <v>77.3</v>
      </c>
      <c r="F328" s="3">
        <f>90.1-9.3</f>
        <v>80.8</v>
      </c>
      <c r="G328" s="3">
        <f t="shared" si="6"/>
        <v>85.7</v>
      </c>
      <c r="H328" s="6" t="s">
        <v>435</v>
      </c>
      <c r="I328" s="4"/>
      <c r="K328" t="s">
        <v>676</v>
      </c>
      <c r="L328" t="s">
        <v>668</v>
      </c>
      <c r="N328" t="s">
        <v>689</v>
      </c>
      <c r="O328" t="s">
        <v>688</v>
      </c>
      <c r="P328" t="s">
        <v>690</v>
      </c>
      <c r="Q328" t="s">
        <v>688</v>
      </c>
      <c r="S328" t="s">
        <v>700</v>
      </c>
      <c r="T328" t="s">
        <v>771</v>
      </c>
    </row>
    <row r="329" spans="1:20" x14ac:dyDescent="0.2">
      <c r="A329" t="s">
        <v>646</v>
      </c>
      <c r="B329">
        <v>4</v>
      </c>
      <c r="C329" t="s">
        <v>436</v>
      </c>
      <c r="D329" t="s">
        <v>695</v>
      </c>
      <c r="E329" s="3">
        <v>15.8</v>
      </c>
      <c r="F329" s="3">
        <f>58.9-40</f>
        <v>18.899999999999999</v>
      </c>
      <c r="G329" s="3">
        <f t="shared" si="6"/>
        <v>24.200000000000003</v>
      </c>
      <c r="H329" t="s">
        <v>436</v>
      </c>
      <c r="I329" s="4" t="s">
        <v>437</v>
      </c>
      <c r="J329" s="4"/>
      <c r="K329" t="s">
        <v>676</v>
      </c>
      <c r="L329" t="s">
        <v>669</v>
      </c>
      <c r="N329" t="s">
        <v>690</v>
      </c>
      <c r="O329" t="s">
        <v>690</v>
      </c>
      <c r="P329" t="s">
        <v>688</v>
      </c>
      <c r="Q329" t="s">
        <v>688</v>
      </c>
      <c r="S329" t="s">
        <v>700</v>
      </c>
      <c r="T329" t="s">
        <v>704</v>
      </c>
    </row>
    <row r="330" spans="1:20" x14ac:dyDescent="0.2">
      <c r="A330" t="s">
        <v>646</v>
      </c>
      <c r="B330">
        <v>5</v>
      </c>
      <c r="C330" t="s">
        <v>438</v>
      </c>
      <c r="D330" t="s">
        <v>695</v>
      </c>
      <c r="E330" s="3">
        <v>28.6</v>
      </c>
      <c r="F330" s="3">
        <f>65.7-33.4</f>
        <v>32.300000000000004</v>
      </c>
      <c r="G330" s="3">
        <f t="shared" si="6"/>
        <v>37</v>
      </c>
      <c r="H330" s="6" t="s">
        <v>438</v>
      </c>
      <c r="I330" s="4" t="s">
        <v>439</v>
      </c>
      <c r="J330" s="4"/>
      <c r="K330" t="s">
        <v>676</v>
      </c>
      <c r="L330" t="s">
        <v>669</v>
      </c>
      <c r="N330" t="s">
        <v>689</v>
      </c>
      <c r="O330" t="s">
        <v>689</v>
      </c>
      <c r="P330" t="s">
        <v>688</v>
      </c>
      <c r="Q330" t="s">
        <v>688</v>
      </c>
      <c r="S330" t="s">
        <v>700</v>
      </c>
      <c r="T330" t="s">
        <v>704</v>
      </c>
    </row>
    <row r="331" spans="1:20" x14ac:dyDescent="0.2">
      <c r="A331" t="s">
        <v>646</v>
      </c>
      <c r="B331">
        <v>6</v>
      </c>
      <c r="C331" t="s">
        <v>440</v>
      </c>
      <c r="D331" t="s">
        <v>695</v>
      </c>
      <c r="E331" s="3">
        <v>11.4</v>
      </c>
      <c r="F331" s="3">
        <f>56.8-42</f>
        <v>14.799999999999997</v>
      </c>
      <c r="G331" s="3">
        <f t="shared" si="6"/>
        <v>19.8</v>
      </c>
      <c r="H331" t="s">
        <v>440</v>
      </c>
      <c r="I331" s="4" t="s">
        <v>441</v>
      </c>
      <c r="J331" s="4"/>
      <c r="K331" t="s">
        <v>676</v>
      </c>
      <c r="L331" t="s">
        <v>669</v>
      </c>
      <c r="N331" t="s">
        <v>690</v>
      </c>
      <c r="O331" t="s">
        <v>689</v>
      </c>
      <c r="P331" t="s">
        <v>688</v>
      </c>
      <c r="Q331" t="s">
        <v>688</v>
      </c>
      <c r="S331" t="s">
        <v>700</v>
      </c>
      <c r="T331" t="s">
        <v>704</v>
      </c>
    </row>
    <row r="332" spans="1:20" x14ac:dyDescent="0.2">
      <c r="A332" t="s">
        <v>646</v>
      </c>
      <c r="B332">
        <v>7</v>
      </c>
      <c r="C332" t="s">
        <v>442</v>
      </c>
      <c r="D332" t="s">
        <v>694</v>
      </c>
      <c r="E332" s="3">
        <v>-3.2</v>
      </c>
      <c r="F332" s="3">
        <f>49.7-49.1</f>
        <v>0.60000000000000142</v>
      </c>
      <c r="G332" s="3">
        <f t="shared" si="6"/>
        <v>5.2</v>
      </c>
      <c r="H332" s="4" t="s">
        <v>443</v>
      </c>
      <c r="I332" s="6" t="s">
        <v>442</v>
      </c>
      <c r="J332" s="6"/>
      <c r="K332" t="s">
        <v>676</v>
      </c>
      <c r="L332" t="s">
        <v>669</v>
      </c>
      <c r="N332" t="s">
        <v>687</v>
      </c>
      <c r="O332" t="s">
        <v>689</v>
      </c>
      <c r="P332" t="s">
        <v>688</v>
      </c>
      <c r="Q332" t="s">
        <v>687</v>
      </c>
      <c r="S332" t="s">
        <v>700</v>
      </c>
      <c r="T332" t="s">
        <v>704</v>
      </c>
    </row>
    <row r="333" spans="1:20" x14ac:dyDescent="0.2">
      <c r="A333" t="s">
        <v>646</v>
      </c>
      <c r="B333">
        <v>8</v>
      </c>
      <c r="C333" t="s">
        <v>444</v>
      </c>
      <c r="D333" t="s">
        <v>694</v>
      </c>
      <c r="E333" s="3">
        <v>-8.5</v>
      </c>
      <c r="F333" s="3">
        <f>48-50.9</f>
        <v>-2.8999999999999986</v>
      </c>
      <c r="G333" s="3">
        <f t="shared" si="6"/>
        <v>-9.9999999999999645E-2</v>
      </c>
      <c r="H333" s="4" t="s">
        <v>445</v>
      </c>
      <c r="I333" s="6" t="s">
        <v>444</v>
      </c>
      <c r="J333" s="6"/>
      <c r="K333" t="s">
        <v>663</v>
      </c>
      <c r="L333" t="s">
        <v>672</v>
      </c>
      <c r="N333" t="s">
        <v>687</v>
      </c>
      <c r="O333" t="s">
        <v>690</v>
      </c>
      <c r="P333" t="s">
        <v>688</v>
      </c>
      <c r="Q333" t="s">
        <v>688</v>
      </c>
      <c r="S333" t="s">
        <v>700</v>
      </c>
      <c r="T333" t="s">
        <v>704</v>
      </c>
    </row>
    <row r="334" spans="1:20" x14ac:dyDescent="0.2">
      <c r="A334" t="s">
        <v>646</v>
      </c>
      <c r="B334">
        <v>9</v>
      </c>
      <c r="C334" t="s">
        <v>446</v>
      </c>
      <c r="D334" t="s">
        <v>694</v>
      </c>
      <c r="E334" s="3">
        <v>-37.9</v>
      </c>
      <c r="F334" s="3">
        <f>31-67.5</f>
        <v>-36.5</v>
      </c>
      <c r="G334" s="3">
        <f t="shared" si="6"/>
        <v>-29.5</v>
      </c>
      <c r="H334" s="4" t="s">
        <v>447</v>
      </c>
      <c r="I334" s="6" t="s">
        <v>446</v>
      </c>
      <c r="J334" s="6"/>
      <c r="K334" t="s">
        <v>663</v>
      </c>
      <c r="L334" t="s">
        <v>671</v>
      </c>
      <c r="N334" t="s">
        <v>688</v>
      </c>
      <c r="O334" t="s">
        <v>690</v>
      </c>
      <c r="P334" t="s">
        <v>688</v>
      </c>
      <c r="Q334" t="s">
        <v>688</v>
      </c>
      <c r="S334" t="s">
        <v>700</v>
      </c>
      <c r="T334" t="s">
        <v>704</v>
      </c>
    </row>
    <row r="335" spans="1:20" x14ac:dyDescent="0.2">
      <c r="A335" t="s">
        <v>646</v>
      </c>
      <c r="B335">
        <v>10</v>
      </c>
      <c r="C335" t="s">
        <v>448</v>
      </c>
      <c r="D335" t="s">
        <v>694</v>
      </c>
      <c r="E335" s="3">
        <v>-5.2</v>
      </c>
      <c r="F335" s="3">
        <f>47.2-51.3</f>
        <v>-4.0999999999999943</v>
      </c>
      <c r="G335" s="3">
        <f t="shared" si="6"/>
        <v>3.2</v>
      </c>
      <c r="H335" s="4" t="s">
        <v>449</v>
      </c>
      <c r="I335" s="6" t="s">
        <v>448</v>
      </c>
      <c r="J335" s="6"/>
      <c r="K335" t="s">
        <v>676</v>
      </c>
      <c r="L335" t="s">
        <v>672</v>
      </c>
      <c r="N335" t="s">
        <v>687</v>
      </c>
      <c r="O335" t="s">
        <v>689</v>
      </c>
      <c r="P335" t="s">
        <v>687</v>
      </c>
      <c r="Q335" t="s">
        <v>688</v>
      </c>
      <c r="S335" t="s">
        <v>700</v>
      </c>
      <c r="T335" t="s">
        <v>704</v>
      </c>
    </row>
    <row r="336" spans="1:20" x14ac:dyDescent="0.2">
      <c r="A336" t="s">
        <v>646</v>
      </c>
      <c r="B336">
        <v>11</v>
      </c>
      <c r="C336" t="s">
        <v>450</v>
      </c>
      <c r="D336" t="s">
        <v>694</v>
      </c>
      <c r="E336" s="3">
        <v>-21.4</v>
      </c>
      <c r="F336" s="3">
        <f>38.6-59.9</f>
        <v>-21.299999999999997</v>
      </c>
      <c r="G336" s="3">
        <f t="shared" si="6"/>
        <v>-12.999999999999998</v>
      </c>
      <c r="H336" s="4" t="s">
        <v>451</v>
      </c>
      <c r="I336" s="6" t="s">
        <v>450</v>
      </c>
      <c r="J336" s="6"/>
      <c r="K336" t="s">
        <v>676</v>
      </c>
      <c r="L336" t="s">
        <v>672</v>
      </c>
      <c r="N336" t="s">
        <v>687</v>
      </c>
      <c r="O336" t="s">
        <v>690</v>
      </c>
      <c r="P336" t="s">
        <v>688</v>
      </c>
      <c r="Q336" t="s">
        <v>688</v>
      </c>
      <c r="S336" t="s">
        <v>700</v>
      </c>
      <c r="T336" t="s">
        <v>704</v>
      </c>
    </row>
    <row r="337" spans="1:20" x14ac:dyDescent="0.2">
      <c r="A337" t="s">
        <v>646</v>
      </c>
      <c r="B337">
        <v>12</v>
      </c>
      <c r="C337" t="s">
        <v>452</v>
      </c>
      <c r="D337" t="s">
        <v>695</v>
      </c>
      <c r="E337" s="3">
        <v>19.2</v>
      </c>
      <c r="F337" s="3">
        <f>59.4-39.5</f>
        <v>19.899999999999999</v>
      </c>
      <c r="G337" s="3">
        <f t="shared" si="6"/>
        <v>27.6</v>
      </c>
      <c r="H337" s="6" t="s">
        <v>452</v>
      </c>
      <c r="I337" s="4" t="s">
        <v>453</v>
      </c>
      <c r="J337" s="4"/>
      <c r="K337" t="s">
        <v>680</v>
      </c>
      <c r="L337" t="s">
        <v>668</v>
      </c>
      <c r="N337" t="s">
        <v>689</v>
      </c>
      <c r="O337" t="s">
        <v>689</v>
      </c>
      <c r="P337" t="s">
        <v>687</v>
      </c>
      <c r="Q337" t="s">
        <v>688</v>
      </c>
      <c r="S337" t="s">
        <v>700</v>
      </c>
      <c r="T337" t="s">
        <v>704</v>
      </c>
    </row>
    <row r="338" spans="1:20" x14ac:dyDescent="0.2">
      <c r="A338" t="s">
        <v>646</v>
      </c>
      <c r="B338">
        <v>13</v>
      </c>
      <c r="C338" t="s">
        <v>454</v>
      </c>
      <c r="D338" t="s">
        <v>694</v>
      </c>
      <c r="E338" s="3">
        <v>-45.5</v>
      </c>
      <c r="F338" s="3">
        <f>26.8-72</f>
        <v>-45.2</v>
      </c>
      <c r="G338" s="3">
        <f t="shared" si="6"/>
        <v>-37.1</v>
      </c>
      <c r="H338" s="4" t="s">
        <v>455</v>
      </c>
      <c r="I338" s="6" t="s">
        <v>454</v>
      </c>
      <c r="J338" s="6"/>
      <c r="K338" t="s">
        <v>680</v>
      </c>
      <c r="L338" t="s">
        <v>671</v>
      </c>
      <c r="N338" t="s">
        <v>688</v>
      </c>
      <c r="O338" t="s">
        <v>690</v>
      </c>
      <c r="P338" t="s">
        <v>688</v>
      </c>
      <c r="Q338" t="s">
        <v>688</v>
      </c>
      <c r="S338" t="s">
        <v>700</v>
      </c>
      <c r="T338" t="s">
        <v>704</v>
      </c>
    </row>
    <row r="339" spans="1:20" x14ac:dyDescent="0.2">
      <c r="A339" t="s">
        <v>646</v>
      </c>
      <c r="B339">
        <v>14</v>
      </c>
      <c r="C339" t="s">
        <v>456</v>
      </c>
      <c r="D339" t="s">
        <v>694</v>
      </c>
      <c r="E339" s="3">
        <v>-33.4</v>
      </c>
      <c r="F339" s="3">
        <f>33.7-65.2</f>
        <v>-31.5</v>
      </c>
      <c r="G339" s="3">
        <f t="shared" si="6"/>
        <v>-25</v>
      </c>
      <c r="H339" s="4" t="s">
        <v>457</v>
      </c>
      <c r="I339" s="6" t="s">
        <v>456</v>
      </c>
      <c r="J339" s="6"/>
      <c r="K339" t="s">
        <v>680</v>
      </c>
      <c r="L339" t="s">
        <v>671</v>
      </c>
      <c r="N339" t="s">
        <v>687</v>
      </c>
      <c r="O339" t="s">
        <v>690</v>
      </c>
      <c r="P339" t="s">
        <v>688</v>
      </c>
      <c r="Q339" t="s">
        <v>688</v>
      </c>
      <c r="S339" t="s">
        <v>700</v>
      </c>
      <c r="T339" t="s">
        <v>704</v>
      </c>
    </row>
    <row r="340" spans="1:20" x14ac:dyDescent="0.2">
      <c r="A340" t="s">
        <v>646</v>
      </c>
      <c r="B340">
        <v>15</v>
      </c>
      <c r="C340" t="s">
        <v>458</v>
      </c>
      <c r="D340" t="s">
        <v>694</v>
      </c>
      <c r="E340" s="3">
        <v>-38</v>
      </c>
      <c r="F340" s="3">
        <f>30.8-67.8</f>
        <v>-37</v>
      </c>
      <c r="G340" s="3">
        <f t="shared" si="6"/>
        <v>-29.6</v>
      </c>
      <c r="H340" s="4" t="s">
        <v>459</v>
      </c>
      <c r="I340" s="6" t="s">
        <v>458</v>
      </c>
      <c r="J340" s="6"/>
      <c r="K340" t="s">
        <v>680</v>
      </c>
      <c r="L340" t="s">
        <v>671</v>
      </c>
      <c r="N340" t="s">
        <v>688</v>
      </c>
      <c r="O340" t="s">
        <v>690</v>
      </c>
      <c r="P340" t="s">
        <v>688</v>
      </c>
      <c r="Q340" t="s">
        <v>688</v>
      </c>
      <c r="S340" t="s">
        <v>700</v>
      </c>
      <c r="T340" t="s">
        <v>704</v>
      </c>
    </row>
    <row r="341" spans="1:20" x14ac:dyDescent="0.2">
      <c r="A341" t="s">
        <v>646</v>
      </c>
      <c r="B341">
        <v>16</v>
      </c>
      <c r="C341" t="s">
        <v>460</v>
      </c>
      <c r="D341" t="s">
        <v>694</v>
      </c>
      <c r="E341" s="3">
        <v>-22.8</v>
      </c>
      <c r="F341" s="3">
        <f>39-59.7</f>
        <v>-20.700000000000003</v>
      </c>
      <c r="G341" s="3">
        <f t="shared" si="6"/>
        <v>-14.4</v>
      </c>
      <c r="H341" s="4" t="s">
        <v>461</v>
      </c>
      <c r="I341" s="6" t="s">
        <v>460</v>
      </c>
      <c r="J341" s="6"/>
      <c r="K341" t="s">
        <v>664</v>
      </c>
      <c r="L341" t="s">
        <v>671</v>
      </c>
      <c r="N341" t="s">
        <v>687</v>
      </c>
      <c r="O341" t="s">
        <v>690</v>
      </c>
      <c r="P341" t="s">
        <v>688</v>
      </c>
      <c r="Q341" t="s">
        <v>688</v>
      </c>
      <c r="S341" t="s">
        <v>700</v>
      </c>
      <c r="T341" t="s">
        <v>704</v>
      </c>
    </row>
    <row r="342" spans="1:20" x14ac:dyDescent="0.2">
      <c r="A342" t="s">
        <v>646</v>
      </c>
      <c r="B342">
        <v>17</v>
      </c>
      <c r="C342" t="s">
        <v>462</v>
      </c>
      <c r="D342" t="s">
        <v>695</v>
      </c>
      <c r="E342" s="3">
        <v>5.5</v>
      </c>
      <c r="F342" s="3">
        <f>52.3-46.5</f>
        <v>5.7999999999999972</v>
      </c>
      <c r="G342" s="3">
        <f t="shared" si="6"/>
        <v>13.9</v>
      </c>
      <c r="H342" t="s">
        <v>462</v>
      </c>
      <c r="I342" s="4" t="s">
        <v>463</v>
      </c>
      <c r="J342" s="4"/>
      <c r="K342" t="s">
        <v>680</v>
      </c>
      <c r="L342" t="s">
        <v>672</v>
      </c>
      <c r="N342" t="s">
        <v>689</v>
      </c>
      <c r="O342" t="s">
        <v>690</v>
      </c>
      <c r="P342" t="s">
        <v>688</v>
      </c>
      <c r="Q342" t="s">
        <v>688</v>
      </c>
      <c r="S342" t="s">
        <v>700</v>
      </c>
      <c r="T342" t="s">
        <v>704</v>
      </c>
    </row>
    <row r="343" spans="1:20" x14ac:dyDescent="0.2">
      <c r="A343" t="s">
        <v>647</v>
      </c>
      <c r="B343">
        <v>1</v>
      </c>
      <c r="C343" t="s">
        <v>464</v>
      </c>
      <c r="D343" t="s">
        <v>695</v>
      </c>
      <c r="E343" s="3">
        <v>22</v>
      </c>
      <c r="F343" s="3">
        <f>63.5-34.5</f>
        <v>29</v>
      </c>
      <c r="G343" s="3">
        <f t="shared" si="6"/>
        <v>30.4</v>
      </c>
      <c r="K343" t="s">
        <v>663</v>
      </c>
      <c r="L343" t="s">
        <v>672</v>
      </c>
      <c r="N343" t="s">
        <v>689</v>
      </c>
      <c r="O343" t="s">
        <v>689</v>
      </c>
      <c r="P343" t="s">
        <v>687</v>
      </c>
      <c r="Q343" t="s">
        <v>687</v>
      </c>
      <c r="S343" t="s">
        <v>700</v>
      </c>
      <c r="T343" t="s">
        <v>703</v>
      </c>
    </row>
    <row r="344" spans="1:20" x14ac:dyDescent="0.2">
      <c r="A344" t="s">
        <v>647</v>
      </c>
      <c r="B344">
        <v>2</v>
      </c>
      <c r="C344" t="s">
        <v>465</v>
      </c>
      <c r="D344" t="s">
        <v>695</v>
      </c>
      <c r="E344" s="3">
        <v>6.7</v>
      </c>
      <c r="F344" s="3">
        <f>55.8-42.2</f>
        <v>13.599999999999994</v>
      </c>
      <c r="G344" s="3">
        <f t="shared" si="6"/>
        <v>15.100000000000001</v>
      </c>
      <c r="K344" t="s">
        <v>663</v>
      </c>
      <c r="L344" t="s">
        <v>672</v>
      </c>
      <c r="N344" t="s">
        <v>687</v>
      </c>
      <c r="O344" t="s">
        <v>690</v>
      </c>
      <c r="P344" t="s">
        <v>688</v>
      </c>
      <c r="Q344" t="s">
        <v>688</v>
      </c>
      <c r="S344" t="s">
        <v>700</v>
      </c>
      <c r="T344" t="s">
        <v>703</v>
      </c>
    </row>
    <row r="345" spans="1:20" x14ac:dyDescent="0.2">
      <c r="A345" t="s">
        <v>648</v>
      </c>
      <c r="B345">
        <v>1</v>
      </c>
      <c r="C345" t="s">
        <v>466</v>
      </c>
      <c r="D345" t="s">
        <v>694</v>
      </c>
      <c r="E345" s="3">
        <v>-13.1</v>
      </c>
      <c r="F345" s="3">
        <f>44.8-53.5</f>
        <v>-8.7000000000000028</v>
      </c>
      <c r="G345" s="3">
        <f t="shared" si="6"/>
        <v>-4.6999999999999993</v>
      </c>
      <c r="H345" s="4" t="s">
        <v>860</v>
      </c>
      <c r="I345" s="4" t="s">
        <v>859</v>
      </c>
      <c r="K345" t="s">
        <v>677</v>
      </c>
      <c r="L345" t="s">
        <v>669</v>
      </c>
      <c r="N345" t="s">
        <v>689</v>
      </c>
      <c r="O345" t="s">
        <v>689</v>
      </c>
      <c r="P345" t="s">
        <v>687</v>
      </c>
      <c r="Q345" t="s">
        <v>688</v>
      </c>
      <c r="S345" t="s">
        <v>700</v>
      </c>
      <c r="T345" t="s">
        <v>703</v>
      </c>
    </row>
    <row r="346" spans="1:20" x14ac:dyDescent="0.2">
      <c r="A346" t="s">
        <v>648</v>
      </c>
      <c r="B346">
        <v>2</v>
      </c>
      <c r="C346" t="s">
        <v>467</v>
      </c>
      <c r="D346" t="s">
        <v>694</v>
      </c>
      <c r="E346" s="3">
        <v>-14</v>
      </c>
      <c r="F346" s="3">
        <f>43.9-54.5</f>
        <v>-10.600000000000001</v>
      </c>
      <c r="G346" s="3">
        <f t="shared" si="6"/>
        <v>-5.6</v>
      </c>
      <c r="H346" s="4" t="s">
        <v>861</v>
      </c>
      <c r="I346" t="s">
        <v>467</v>
      </c>
      <c r="K346" t="s">
        <v>677</v>
      </c>
      <c r="L346" t="s">
        <v>671</v>
      </c>
      <c r="N346" t="s">
        <v>687</v>
      </c>
      <c r="O346" t="s">
        <v>689</v>
      </c>
      <c r="P346" t="s">
        <v>689</v>
      </c>
      <c r="Q346" t="s">
        <v>688</v>
      </c>
      <c r="S346" t="s">
        <v>700</v>
      </c>
      <c r="T346" t="s">
        <v>703</v>
      </c>
    </row>
    <row r="347" spans="1:20" x14ac:dyDescent="0.2">
      <c r="A347" t="s">
        <v>648</v>
      </c>
      <c r="B347">
        <v>3</v>
      </c>
      <c r="C347" t="s">
        <v>468</v>
      </c>
      <c r="D347" t="s">
        <v>694</v>
      </c>
      <c r="E347" s="3">
        <v>-43</v>
      </c>
      <c r="F347" s="3">
        <f>30.6-68</f>
        <v>-37.4</v>
      </c>
      <c r="G347" s="3">
        <f t="shared" si="6"/>
        <v>-34.6</v>
      </c>
      <c r="H347" s="4" t="s">
        <v>795</v>
      </c>
      <c r="I347" t="s">
        <v>794</v>
      </c>
      <c r="K347" t="s">
        <v>677</v>
      </c>
      <c r="L347" t="s">
        <v>671</v>
      </c>
      <c r="N347" t="s">
        <v>688</v>
      </c>
      <c r="O347" t="s">
        <v>689</v>
      </c>
      <c r="P347" t="s">
        <v>687</v>
      </c>
      <c r="Q347" t="s">
        <v>688</v>
      </c>
      <c r="S347" t="s">
        <v>700</v>
      </c>
      <c r="T347" t="s">
        <v>703</v>
      </c>
    </row>
    <row r="348" spans="1:20" x14ac:dyDescent="0.2">
      <c r="A348" t="s">
        <v>648</v>
      </c>
      <c r="B348">
        <v>4</v>
      </c>
      <c r="C348" t="s">
        <v>469</v>
      </c>
      <c r="D348" t="s">
        <v>694</v>
      </c>
      <c r="E348" s="3">
        <v>-23.6</v>
      </c>
      <c r="F348" s="3">
        <f>39.8-58.4</f>
        <v>-18.600000000000001</v>
      </c>
      <c r="G348" s="3">
        <f t="shared" si="6"/>
        <v>-15.200000000000003</v>
      </c>
      <c r="H348" s="4" t="s">
        <v>796</v>
      </c>
      <c r="I348" t="s">
        <v>469</v>
      </c>
      <c r="K348" t="s">
        <v>677</v>
      </c>
      <c r="L348" t="s">
        <v>671</v>
      </c>
      <c r="N348" t="s">
        <v>687</v>
      </c>
      <c r="O348" t="s">
        <v>689</v>
      </c>
      <c r="P348" t="s">
        <v>687</v>
      </c>
      <c r="Q348" t="s">
        <v>688</v>
      </c>
      <c r="S348" t="s">
        <v>700</v>
      </c>
      <c r="T348" t="s">
        <v>703</v>
      </c>
    </row>
    <row r="349" spans="1:20" x14ac:dyDescent="0.2">
      <c r="A349" t="s">
        <v>648</v>
      </c>
      <c r="B349">
        <v>5</v>
      </c>
      <c r="C349" t="s">
        <v>470</v>
      </c>
      <c r="D349" t="s">
        <v>694</v>
      </c>
      <c r="E349" s="3">
        <v>-22.8</v>
      </c>
      <c r="F349" s="3">
        <f>40.2-58.4</f>
        <v>-18.199999999999996</v>
      </c>
      <c r="G349" s="3">
        <f t="shared" si="6"/>
        <v>-14.4</v>
      </c>
      <c r="H349" s="4" t="s">
        <v>797</v>
      </c>
      <c r="I349" s="4" t="s">
        <v>798</v>
      </c>
      <c r="K349" t="s">
        <v>677</v>
      </c>
      <c r="L349" t="s">
        <v>671</v>
      </c>
      <c r="N349" t="s">
        <v>687</v>
      </c>
      <c r="O349" t="s">
        <v>689</v>
      </c>
      <c r="P349" t="s">
        <v>687</v>
      </c>
      <c r="Q349" t="s">
        <v>688</v>
      </c>
      <c r="S349" t="s">
        <v>700</v>
      </c>
      <c r="T349" t="s">
        <v>703</v>
      </c>
    </row>
    <row r="350" spans="1:20" x14ac:dyDescent="0.2">
      <c r="A350" t="s">
        <v>648</v>
      </c>
      <c r="B350">
        <v>6</v>
      </c>
      <c r="C350" t="s">
        <v>471</v>
      </c>
      <c r="D350" t="s">
        <v>695</v>
      </c>
      <c r="E350" s="3">
        <v>22.8</v>
      </c>
      <c r="F350" s="3">
        <f>65.3-33.2</f>
        <v>32.099999999999994</v>
      </c>
      <c r="G350" s="3">
        <f t="shared" si="6"/>
        <v>31.200000000000003</v>
      </c>
      <c r="H350" s="6" t="s">
        <v>471</v>
      </c>
      <c r="I350" s="4" t="s">
        <v>799</v>
      </c>
      <c r="K350" t="s">
        <v>677</v>
      </c>
      <c r="L350" t="s">
        <v>671</v>
      </c>
      <c r="N350" t="s">
        <v>687</v>
      </c>
      <c r="O350" t="s">
        <v>688</v>
      </c>
      <c r="P350" t="s">
        <v>690</v>
      </c>
      <c r="Q350" t="s">
        <v>688</v>
      </c>
      <c r="S350" t="s">
        <v>700</v>
      </c>
      <c r="T350" t="s">
        <v>703</v>
      </c>
    </row>
    <row r="351" spans="1:20" x14ac:dyDescent="0.2">
      <c r="A351" t="s">
        <v>648</v>
      </c>
      <c r="B351">
        <v>7</v>
      </c>
      <c r="C351" t="s">
        <v>472</v>
      </c>
      <c r="D351" t="s">
        <v>694</v>
      </c>
      <c r="E351" s="3">
        <v>-26.4</v>
      </c>
      <c r="F351" s="3">
        <f>40.2-58.8</f>
        <v>-18.599999999999994</v>
      </c>
      <c r="G351" s="3">
        <f t="shared" si="6"/>
        <v>-18</v>
      </c>
      <c r="H351" s="4" t="s">
        <v>800</v>
      </c>
      <c r="I351" t="s">
        <v>472</v>
      </c>
      <c r="K351" t="s">
        <v>677</v>
      </c>
      <c r="L351" t="s">
        <v>671</v>
      </c>
      <c r="N351" t="s">
        <v>688</v>
      </c>
      <c r="O351" t="s">
        <v>689</v>
      </c>
      <c r="P351" t="s">
        <v>689</v>
      </c>
      <c r="Q351" t="s">
        <v>688</v>
      </c>
      <c r="S351" t="s">
        <v>700</v>
      </c>
      <c r="T351" t="s">
        <v>703</v>
      </c>
    </row>
    <row r="352" spans="1:20" x14ac:dyDescent="0.2">
      <c r="A352" t="s">
        <v>649</v>
      </c>
      <c r="B352" s="5">
        <v>1</v>
      </c>
      <c r="C352" t="s">
        <v>473</v>
      </c>
      <c r="D352" t="s">
        <v>694</v>
      </c>
      <c r="E352" s="3">
        <v>-29.2</v>
      </c>
      <c r="F352" s="3">
        <f>35.6-61.8</f>
        <v>-26.199999999999996</v>
      </c>
      <c r="G352" s="3">
        <f t="shared" si="6"/>
        <v>-20.799999999999997</v>
      </c>
      <c r="H352" s="4" t="s">
        <v>726</v>
      </c>
      <c r="I352" s="4" t="s">
        <v>727</v>
      </c>
      <c r="J352" s="4"/>
      <c r="K352" t="s">
        <v>679</v>
      </c>
      <c r="L352" t="s">
        <v>671</v>
      </c>
      <c r="N352" t="s">
        <v>687</v>
      </c>
      <c r="O352" t="s">
        <v>690</v>
      </c>
      <c r="P352" t="s">
        <v>688</v>
      </c>
      <c r="Q352" t="s">
        <v>688</v>
      </c>
      <c r="S352" t="s">
        <v>700</v>
      </c>
      <c r="T352" t="s">
        <v>704</v>
      </c>
    </row>
    <row r="353" spans="1:20" x14ac:dyDescent="0.2">
      <c r="A353" t="s">
        <v>650</v>
      </c>
      <c r="B353">
        <v>1</v>
      </c>
      <c r="C353" t="s">
        <v>474</v>
      </c>
      <c r="D353" t="s">
        <v>694</v>
      </c>
      <c r="E353" s="3">
        <f>20.6-78.4</f>
        <v>-57.800000000000004</v>
      </c>
      <c r="F353" s="3">
        <f>22-76.3</f>
        <v>-54.3</v>
      </c>
      <c r="G353" s="3">
        <f t="shared" si="6"/>
        <v>-49.400000000000006</v>
      </c>
      <c r="K353" t="s">
        <v>680</v>
      </c>
      <c r="L353" t="s">
        <v>671</v>
      </c>
      <c r="N353" t="s">
        <v>688</v>
      </c>
      <c r="O353" t="s">
        <v>690</v>
      </c>
      <c r="P353" t="s">
        <v>688</v>
      </c>
      <c r="Q353" t="s">
        <v>688</v>
      </c>
      <c r="S353" t="s">
        <v>700</v>
      </c>
      <c r="T353" t="s">
        <v>703</v>
      </c>
    </row>
    <row r="354" spans="1:20" x14ac:dyDescent="0.2">
      <c r="A354" t="s">
        <v>650</v>
      </c>
      <c r="B354">
        <v>2</v>
      </c>
      <c r="C354" t="s">
        <v>475</v>
      </c>
      <c r="D354" t="s">
        <v>694</v>
      </c>
      <c r="E354" s="3">
        <f>32.4-66.2</f>
        <v>-33.800000000000004</v>
      </c>
      <c r="F354" s="3">
        <f>34.4-63.7</f>
        <v>-29.300000000000004</v>
      </c>
      <c r="G354" s="3">
        <f t="shared" si="6"/>
        <v>-25.400000000000006</v>
      </c>
      <c r="K354" t="s">
        <v>680</v>
      </c>
      <c r="L354" t="s">
        <v>671</v>
      </c>
      <c r="N354" t="s">
        <v>687</v>
      </c>
      <c r="O354" t="s">
        <v>690</v>
      </c>
      <c r="P354" t="s">
        <v>688</v>
      </c>
      <c r="Q354" t="s">
        <v>688</v>
      </c>
      <c r="S354" t="s">
        <v>700</v>
      </c>
      <c r="T354" t="s">
        <v>703</v>
      </c>
    </row>
    <row r="355" spans="1:20" x14ac:dyDescent="0.2">
      <c r="A355" t="s">
        <v>650</v>
      </c>
      <c r="B355">
        <v>3</v>
      </c>
      <c r="C355" t="s">
        <v>476</v>
      </c>
      <c r="D355" t="s">
        <v>694</v>
      </c>
      <c r="E355" s="3">
        <f>31.5-67.2</f>
        <v>-35.700000000000003</v>
      </c>
      <c r="F355" s="3">
        <f>33.2-64.9</f>
        <v>-31.700000000000003</v>
      </c>
      <c r="G355" s="3">
        <f t="shared" si="6"/>
        <v>-27.300000000000004</v>
      </c>
      <c r="K355" t="s">
        <v>680</v>
      </c>
      <c r="L355" t="s">
        <v>671</v>
      </c>
      <c r="N355" t="s">
        <v>687</v>
      </c>
      <c r="O355" t="s">
        <v>690</v>
      </c>
      <c r="P355" t="s">
        <v>687</v>
      </c>
      <c r="Q355" t="s">
        <v>688</v>
      </c>
      <c r="S355" t="s">
        <v>700</v>
      </c>
      <c r="T355" t="s">
        <v>703</v>
      </c>
    </row>
    <row r="356" spans="1:20" x14ac:dyDescent="0.2">
      <c r="A356" t="s">
        <v>650</v>
      </c>
      <c r="B356">
        <v>4</v>
      </c>
      <c r="C356" t="s">
        <v>477</v>
      </c>
      <c r="D356" t="s">
        <v>694</v>
      </c>
      <c r="E356" s="3">
        <f>37.3-61.2</f>
        <v>-23.900000000000006</v>
      </c>
      <c r="F356" s="3">
        <f>41.1-56.5</f>
        <v>-15.399999999999999</v>
      </c>
      <c r="G356" s="3">
        <f t="shared" si="6"/>
        <v>-15.500000000000007</v>
      </c>
      <c r="K356" t="s">
        <v>681</v>
      </c>
      <c r="L356" t="s">
        <v>671</v>
      </c>
      <c r="N356" t="s">
        <v>687</v>
      </c>
      <c r="O356" t="s">
        <v>689</v>
      </c>
      <c r="P356" t="s">
        <v>687</v>
      </c>
      <c r="Q356" t="s">
        <v>688</v>
      </c>
      <c r="S356" t="s">
        <v>700</v>
      </c>
      <c r="T356" t="s">
        <v>703</v>
      </c>
    </row>
    <row r="357" spans="1:20" x14ac:dyDescent="0.2">
      <c r="A357" t="s">
        <v>650</v>
      </c>
      <c r="B357">
        <v>5</v>
      </c>
      <c r="C357" t="s">
        <v>478</v>
      </c>
      <c r="D357" t="s">
        <v>694</v>
      </c>
      <c r="E357" s="3">
        <f>37.8-60.9</f>
        <v>-23.1</v>
      </c>
      <c r="F357" s="3">
        <f>42.8-55.5</f>
        <v>-12.700000000000003</v>
      </c>
      <c r="G357" s="3">
        <f t="shared" si="6"/>
        <v>-14.700000000000003</v>
      </c>
      <c r="K357" t="s">
        <v>681</v>
      </c>
      <c r="L357" t="s">
        <v>672</v>
      </c>
      <c r="N357" t="s">
        <v>687</v>
      </c>
      <c r="O357" t="s">
        <v>689</v>
      </c>
      <c r="P357" t="s">
        <v>689</v>
      </c>
      <c r="Q357" t="s">
        <v>688</v>
      </c>
      <c r="S357" t="s">
        <v>700</v>
      </c>
      <c r="T357" t="s">
        <v>703</v>
      </c>
    </row>
    <row r="358" spans="1:20" x14ac:dyDescent="0.2">
      <c r="A358" t="s">
        <v>650</v>
      </c>
      <c r="B358">
        <v>6</v>
      </c>
      <c r="C358" t="s">
        <v>479</v>
      </c>
      <c r="D358" t="s">
        <v>694</v>
      </c>
      <c r="E358" s="3">
        <f>36.1-62.6</f>
        <v>-26.5</v>
      </c>
      <c r="F358" s="3">
        <f>38.9-59</f>
        <v>-20.100000000000001</v>
      </c>
      <c r="G358" s="3">
        <f t="shared" si="6"/>
        <v>-18.100000000000001</v>
      </c>
      <c r="K358" t="s">
        <v>681</v>
      </c>
      <c r="L358" t="s">
        <v>672</v>
      </c>
      <c r="N358" t="s">
        <v>687</v>
      </c>
      <c r="O358" t="s">
        <v>690</v>
      </c>
      <c r="P358" t="s">
        <v>687</v>
      </c>
      <c r="Q358" t="s">
        <v>688</v>
      </c>
      <c r="S358" t="s">
        <v>700</v>
      </c>
      <c r="T358" t="s">
        <v>703</v>
      </c>
    </row>
    <row r="359" spans="1:20" x14ac:dyDescent="0.2">
      <c r="A359" t="s">
        <v>650</v>
      </c>
      <c r="B359">
        <v>7</v>
      </c>
      <c r="C359" t="s">
        <v>480</v>
      </c>
      <c r="D359" t="s">
        <v>694</v>
      </c>
      <c r="E359" s="3">
        <f>38.1-60.5</f>
        <v>-22.4</v>
      </c>
      <c r="F359" s="3">
        <f>39.9-58</f>
        <v>-18.100000000000001</v>
      </c>
      <c r="G359" s="3">
        <f t="shared" si="6"/>
        <v>-13.999999999999998</v>
      </c>
      <c r="K359" t="s">
        <v>681</v>
      </c>
      <c r="L359" t="s">
        <v>672</v>
      </c>
      <c r="N359" t="s">
        <v>687</v>
      </c>
      <c r="O359" t="s">
        <v>689</v>
      </c>
      <c r="P359" t="s">
        <v>687</v>
      </c>
      <c r="Q359" t="s">
        <v>688</v>
      </c>
      <c r="S359" t="s">
        <v>700</v>
      </c>
      <c r="T359" t="s">
        <v>703</v>
      </c>
    </row>
    <row r="360" spans="1:20" x14ac:dyDescent="0.2">
      <c r="A360" t="s">
        <v>650</v>
      </c>
      <c r="B360">
        <v>8</v>
      </c>
      <c r="C360" t="s">
        <v>481</v>
      </c>
      <c r="D360" t="s">
        <v>694</v>
      </c>
      <c r="E360" s="3">
        <f>39.2-59.4</f>
        <v>-20.199999999999996</v>
      </c>
      <c r="F360" s="3">
        <f>41.4-57.1</f>
        <v>-15.700000000000003</v>
      </c>
      <c r="G360" s="3">
        <f t="shared" si="6"/>
        <v>-11.799999999999995</v>
      </c>
      <c r="K360" t="s">
        <v>681</v>
      </c>
      <c r="L360" t="s">
        <v>672</v>
      </c>
      <c r="N360" t="s">
        <v>687</v>
      </c>
      <c r="O360" t="s">
        <v>689</v>
      </c>
      <c r="P360" t="s">
        <v>689</v>
      </c>
      <c r="Q360" t="s">
        <v>688</v>
      </c>
      <c r="S360" t="s">
        <v>700</v>
      </c>
      <c r="T360" t="s">
        <v>703</v>
      </c>
    </row>
    <row r="361" spans="1:20" x14ac:dyDescent="0.2">
      <c r="A361" t="s">
        <v>650</v>
      </c>
      <c r="B361">
        <v>9</v>
      </c>
      <c r="C361" t="s">
        <v>482</v>
      </c>
      <c r="D361" t="s">
        <v>695</v>
      </c>
      <c r="E361" s="3">
        <f>38.8-59.9</f>
        <v>-21.1</v>
      </c>
      <c r="F361" s="3">
        <f>44-54.5</f>
        <v>-10.5</v>
      </c>
      <c r="G361" s="3">
        <f t="shared" si="6"/>
        <v>-12.700000000000001</v>
      </c>
      <c r="K361" t="s">
        <v>681</v>
      </c>
      <c r="L361" t="s">
        <v>672</v>
      </c>
      <c r="N361" t="s">
        <v>687</v>
      </c>
      <c r="O361" t="s">
        <v>687</v>
      </c>
      <c r="P361" t="s">
        <v>689</v>
      </c>
      <c r="Q361" t="s">
        <v>688</v>
      </c>
      <c r="S361" t="s">
        <v>700</v>
      </c>
      <c r="T361" t="s">
        <v>703</v>
      </c>
    </row>
    <row r="362" spans="1:20" x14ac:dyDescent="0.2">
      <c r="A362" t="s">
        <v>651</v>
      </c>
      <c r="B362">
        <v>1</v>
      </c>
      <c r="C362" t="s">
        <v>483</v>
      </c>
      <c r="D362" t="s">
        <v>694</v>
      </c>
      <c r="E362" s="3">
        <v>-49.4</v>
      </c>
      <c r="F362" s="3">
        <f>27.5-71.3</f>
        <v>-43.8</v>
      </c>
      <c r="G362" s="3">
        <f t="shared" si="6"/>
        <v>-41</v>
      </c>
      <c r="H362" s="4" t="s">
        <v>484</v>
      </c>
      <c r="I362" t="s">
        <v>483</v>
      </c>
      <c r="K362" t="s">
        <v>681</v>
      </c>
      <c r="L362" t="s">
        <v>671</v>
      </c>
      <c r="N362" t="s">
        <v>688</v>
      </c>
      <c r="O362" t="s">
        <v>689</v>
      </c>
      <c r="P362" t="s">
        <v>687</v>
      </c>
      <c r="Q362" t="s">
        <v>688</v>
      </c>
      <c r="S362" t="s">
        <v>700</v>
      </c>
      <c r="T362" t="s">
        <v>704</v>
      </c>
    </row>
    <row r="363" spans="1:20" x14ac:dyDescent="0.2">
      <c r="A363" t="s">
        <v>651</v>
      </c>
      <c r="B363">
        <v>2</v>
      </c>
      <c r="C363" t="s">
        <v>485</v>
      </c>
      <c r="D363" t="s">
        <v>694</v>
      </c>
      <c r="E363" s="3">
        <v>-22.8</v>
      </c>
      <c r="F363" s="3">
        <f>38.5-60</f>
        <v>-21.5</v>
      </c>
      <c r="G363" s="3">
        <f t="shared" si="6"/>
        <v>-14.4</v>
      </c>
      <c r="H363" s="4" t="s">
        <v>486</v>
      </c>
      <c r="I363" s="4" t="s">
        <v>487</v>
      </c>
      <c r="J363" s="4"/>
      <c r="K363" t="s">
        <v>682</v>
      </c>
      <c r="L363" t="s">
        <v>672</v>
      </c>
      <c r="N363" t="s">
        <v>687</v>
      </c>
      <c r="O363" t="s">
        <v>687</v>
      </c>
      <c r="P363" t="s">
        <v>687</v>
      </c>
      <c r="Q363" t="s">
        <v>687</v>
      </c>
      <c r="S363" t="s">
        <v>700</v>
      </c>
      <c r="T363" t="s">
        <v>704</v>
      </c>
    </row>
    <row r="364" spans="1:20" x14ac:dyDescent="0.2">
      <c r="A364" t="s">
        <v>651</v>
      </c>
      <c r="B364">
        <v>3</v>
      </c>
      <c r="C364" t="s">
        <v>488</v>
      </c>
      <c r="D364" t="s">
        <v>694</v>
      </c>
      <c r="E364" s="3">
        <v>-23.3</v>
      </c>
      <c r="F364" s="3">
        <f>40.4-57.8</f>
        <v>-17.399999999999999</v>
      </c>
      <c r="G364" s="3">
        <f t="shared" si="6"/>
        <v>-14.899999999999999</v>
      </c>
      <c r="H364" s="4" t="s">
        <v>489</v>
      </c>
      <c r="I364" t="s">
        <v>488</v>
      </c>
      <c r="K364" t="s">
        <v>681</v>
      </c>
      <c r="L364" t="s">
        <v>671</v>
      </c>
      <c r="N364" t="s">
        <v>689</v>
      </c>
      <c r="O364" t="s">
        <v>687</v>
      </c>
      <c r="P364" t="s">
        <v>687</v>
      </c>
      <c r="Q364" t="s">
        <v>687</v>
      </c>
      <c r="S364" t="s">
        <v>700</v>
      </c>
      <c r="T364" t="s">
        <v>704</v>
      </c>
    </row>
    <row r="365" spans="1:20" x14ac:dyDescent="0.2">
      <c r="A365" t="s">
        <v>651</v>
      </c>
      <c r="B365">
        <v>4</v>
      </c>
      <c r="C365" t="s">
        <v>490</v>
      </c>
      <c r="D365" t="s">
        <v>694</v>
      </c>
      <c r="E365" s="3">
        <v>-24.6</v>
      </c>
      <c r="F365" s="3">
        <f>40.3-58.2</f>
        <v>-17.900000000000006</v>
      </c>
      <c r="G365" s="3">
        <f t="shared" si="6"/>
        <v>-16.200000000000003</v>
      </c>
      <c r="H365" s="4" t="s">
        <v>491</v>
      </c>
      <c r="I365" t="s">
        <v>490</v>
      </c>
      <c r="K365" t="s">
        <v>681</v>
      </c>
      <c r="L365" t="s">
        <v>671</v>
      </c>
      <c r="N365" t="s">
        <v>690</v>
      </c>
      <c r="O365" t="s">
        <v>687</v>
      </c>
      <c r="P365" t="s">
        <v>688</v>
      </c>
      <c r="Q365" t="s">
        <v>688</v>
      </c>
      <c r="S365" t="s">
        <v>700</v>
      </c>
      <c r="T365" t="s">
        <v>704</v>
      </c>
    </row>
    <row r="366" spans="1:20" x14ac:dyDescent="0.2">
      <c r="A366" t="s">
        <v>651</v>
      </c>
      <c r="B366">
        <v>5</v>
      </c>
      <c r="C366" t="s">
        <v>492</v>
      </c>
      <c r="D366" t="s">
        <v>694</v>
      </c>
      <c r="E366" s="3">
        <v>-21.5</v>
      </c>
      <c r="F366" s="3">
        <f>41.3-57.5</f>
        <v>-16.200000000000003</v>
      </c>
      <c r="G366" s="3">
        <f t="shared" si="6"/>
        <v>-13.1</v>
      </c>
      <c r="H366" s="4" t="s">
        <v>493</v>
      </c>
      <c r="I366" t="s">
        <v>492</v>
      </c>
      <c r="K366" t="s">
        <v>681</v>
      </c>
      <c r="L366" t="s">
        <v>671</v>
      </c>
      <c r="N366" t="s">
        <v>688</v>
      </c>
      <c r="O366" t="s">
        <v>687</v>
      </c>
      <c r="P366" t="s">
        <v>687</v>
      </c>
      <c r="Q366" t="s">
        <v>687</v>
      </c>
      <c r="S366" t="s">
        <v>700</v>
      </c>
      <c r="T366" t="s">
        <v>704</v>
      </c>
    </row>
    <row r="367" spans="1:20" x14ac:dyDescent="0.2">
      <c r="A367" t="s">
        <v>651</v>
      </c>
      <c r="B367">
        <v>6</v>
      </c>
      <c r="C367" t="s">
        <v>494</v>
      </c>
      <c r="D367" t="s">
        <v>694</v>
      </c>
      <c r="E367" s="3">
        <v>-22.8</v>
      </c>
      <c r="F367" s="3">
        <f>39.5-59</f>
        <v>-19.5</v>
      </c>
      <c r="G367" s="3">
        <f t="shared" si="6"/>
        <v>-14.4</v>
      </c>
      <c r="H367" s="4" t="s">
        <v>495</v>
      </c>
      <c r="I367" t="s">
        <v>494</v>
      </c>
      <c r="K367" t="s">
        <v>681</v>
      </c>
      <c r="L367" t="s">
        <v>671</v>
      </c>
      <c r="N367" t="s">
        <v>687</v>
      </c>
      <c r="O367" t="s">
        <v>687</v>
      </c>
      <c r="P367" t="s">
        <v>687</v>
      </c>
      <c r="Q367" t="s">
        <v>687</v>
      </c>
      <c r="S367" t="s">
        <v>700</v>
      </c>
      <c r="T367" t="s">
        <v>704</v>
      </c>
    </row>
    <row r="368" spans="1:20" x14ac:dyDescent="0.2">
      <c r="A368" t="s">
        <v>651</v>
      </c>
      <c r="B368">
        <v>7</v>
      </c>
      <c r="C368" t="s">
        <v>496</v>
      </c>
      <c r="D368" t="s">
        <v>695</v>
      </c>
      <c r="E368" s="3">
        <v>23.4</v>
      </c>
      <c r="F368" s="3">
        <f>65-33.5</f>
        <v>31.5</v>
      </c>
      <c r="G368" s="3">
        <f t="shared" si="6"/>
        <v>31.799999999999997</v>
      </c>
      <c r="H368" t="s">
        <v>496</v>
      </c>
      <c r="I368" s="4" t="s">
        <v>497</v>
      </c>
      <c r="J368" s="4"/>
      <c r="K368" t="s">
        <v>682</v>
      </c>
      <c r="L368" t="s">
        <v>669</v>
      </c>
      <c r="N368" t="s">
        <v>689</v>
      </c>
      <c r="O368" t="s">
        <v>688</v>
      </c>
      <c r="P368" t="s">
        <v>687</v>
      </c>
      <c r="Q368" t="s">
        <v>689</v>
      </c>
      <c r="S368" t="s">
        <v>700</v>
      </c>
      <c r="T368" t="s">
        <v>704</v>
      </c>
    </row>
    <row r="369" spans="1:20" x14ac:dyDescent="0.2">
      <c r="A369" t="s">
        <v>651</v>
      </c>
      <c r="B369">
        <v>8</v>
      </c>
      <c r="C369" t="s">
        <v>498</v>
      </c>
      <c r="D369" t="s">
        <v>694</v>
      </c>
      <c r="E369" s="3">
        <v>-27.6</v>
      </c>
      <c r="F369" s="3">
        <f>40.1-56.8</f>
        <v>-16.699999999999996</v>
      </c>
      <c r="G369" s="3">
        <f t="shared" si="6"/>
        <v>-19.200000000000003</v>
      </c>
      <c r="H369" s="4" t="s">
        <v>499</v>
      </c>
      <c r="I369" s="4" t="s">
        <v>500</v>
      </c>
      <c r="J369" s="4"/>
      <c r="K369" t="s">
        <v>681</v>
      </c>
      <c r="L369" t="s">
        <v>671</v>
      </c>
      <c r="N369" t="s">
        <v>687</v>
      </c>
      <c r="O369" t="s">
        <v>688</v>
      </c>
      <c r="P369" t="s">
        <v>687</v>
      </c>
      <c r="Q369" t="s">
        <v>689</v>
      </c>
      <c r="S369" t="s">
        <v>700</v>
      </c>
      <c r="T369" t="s">
        <v>704</v>
      </c>
    </row>
    <row r="370" spans="1:20" x14ac:dyDescent="0.2">
      <c r="A370" t="s">
        <v>651</v>
      </c>
      <c r="B370">
        <v>9</v>
      </c>
      <c r="C370" t="s">
        <v>321</v>
      </c>
      <c r="D370" t="s">
        <v>695</v>
      </c>
      <c r="E370" s="3">
        <v>-19.8</v>
      </c>
      <c r="F370" s="3">
        <f>45.1-53.7</f>
        <v>-8.6000000000000014</v>
      </c>
      <c r="G370" s="3">
        <f t="shared" si="6"/>
        <v>-11.4</v>
      </c>
      <c r="H370" s="4" t="s">
        <v>501</v>
      </c>
      <c r="I370" s="4" t="s">
        <v>502</v>
      </c>
      <c r="J370" s="4"/>
      <c r="K370" t="s">
        <v>682</v>
      </c>
      <c r="L370" t="s">
        <v>672</v>
      </c>
      <c r="N370" t="s">
        <v>688</v>
      </c>
      <c r="O370" t="s">
        <v>688</v>
      </c>
      <c r="P370" t="s">
        <v>687</v>
      </c>
      <c r="Q370" t="s">
        <v>690</v>
      </c>
      <c r="S370" t="s">
        <v>700</v>
      </c>
      <c r="T370" t="s">
        <v>704</v>
      </c>
    </row>
    <row r="371" spans="1:20" x14ac:dyDescent="0.2">
      <c r="A371" t="s">
        <v>651</v>
      </c>
      <c r="B371">
        <v>10</v>
      </c>
      <c r="C371" t="s">
        <v>503</v>
      </c>
      <c r="D371" t="s">
        <v>694</v>
      </c>
      <c r="E371" s="3">
        <v>-22.5</v>
      </c>
      <c r="F371" s="3">
        <f>41.7-56.5</f>
        <v>-14.799999999999997</v>
      </c>
      <c r="G371" s="3">
        <f t="shared" si="6"/>
        <v>-14.1</v>
      </c>
      <c r="H371" s="4" t="s">
        <v>504</v>
      </c>
      <c r="I371" s="4" t="s">
        <v>505</v>
      </c>
      <c r="J371" s="4"/>
      <c r="K371" t="s">
        <v>682</v>
      </c>
      <c r="L371" t="s">
        <v>672</v>
      </c>
      <c r="N371" t="s">
        <v>689</v>
      </c>
      <c r="O371" t="s">
        <v>687</v>
      </c>
      <c r="P371" t="s">
        <v>688</v>
      </c>
      <c r="Q371" t="s">
        <v>687</v>
      </c>
      <c r="S371" t="s">
        <v>700</v>
      </c>
      <c r="T371" t="s">
        <v>704</v>
      </c>
    </row>
    <row r="372" spans="1:20" x14ac:dyDescent="0.2">
      <c r="A372" t="s">
        <v>651</v>
      </c>
      <c r="B372">
        <v>11</v>
      </c>
      <c r="C372" t="s">
        <v>506</v>
      </c>
      <c r="D372" t="s">
        <v>694</v>
      </c>
      <c r="E372" s="3">
        <v>-34.299999999999997</v>
      </c>
      <c r="F372" s="3">
        <f>34.2-64.2</f>
        <v>-30</v>
      </c>
      <c r="G372" s="3">
        <f t="shared" si="6"/>
        <v>-25.9</v>
      </c>
      <c r="H372" s="4" t="s">
        <v>507</v>
      </c>
      <c r="I372" t="s">
        <v>508</v>
      </c>
      <c r="K372" t="s">
        <v>681</v>
      </c>
      <c r="L372" t="s">
        <v>672</v>
      </c>
      <c r="N372" t="s">
        <v>687</v>
      </c>
      <c r="O372" t="s">
        <v>687</v>
      </c>
      <c r="P372" t="s">
        <v>688</v>
      </c>
      <c r="Q372" t="s">
        <v>689</v>
      </c>
      <c r="S372" t="s">
        <v>700</v>
      </c>
      <c r="T372" t="s">
        <v>704</v>
      </c>
    </row>
    <row r="373" spans="1:20" x14ac:dyDescent="0.2">
      <c r="A373" t="s">
        <v>651</v>
      </c>
      <c r="B373">
        <v>12</v>
      </c>
      <c r="C373" t="s">
        <v>509</v>
      </c>
      <c r="D373" t="s">
        <v>694</v>
      </c>
      <c r="E373" s="3">
        <v>-23.8</v>
      </c>
      <c r="F373" s="3">
        <f>40.3-58</f>
        <v>-17.700000000000003</v>
      </c>
      <c r="G373" s="3">
        <f t="shared" si="6"/>
        <v>-15.399999999999999</v>
      </c>
      <c r="H373" s="4" t="s">
        <v>510</v>
      </c>
      <c r="I373" t="s">
        <v>509</v>
      </c>
      <c r="K373" t="s">
        <v>681</v>
      </c>
      <c r="L373" t="s">
        <v>671</v>
      </c>
      <c r="N373" t="s">
        <v>687</v>
      </c>
      <c r="O373" t="s">
        <v>687</v>
      </c>
      <c r="P373" t="s">
        <v>688</v>
      </c>
      <c r="Q373" t="s">
        <v>687</v>
      </c>
      <c r="S373" t="s">
        <v>700</v>
      </c>
      <c r="T373" t="s">
        <v>704</v>
      </c>
    </row>
    <row r="374" spans="1:20" x14ac:dyDescent="0.2">
      <c r="A374" t="s">
        <v>651</v>
      </c>
      <c r="B374">
        <v>13</v>
      </c>
      <c r="C374" t="s">
        <v>511</v>
      </c>
      <c r="D374" t="s">
        <v>694</v>
      </c>
      <c r="E374" s="3">
        <v>-46.1</v>
      </c>
      <c r="F374" s="3">
        <f>27.1-71.2</f>
        <v>-44.1</v>
      </c>
      <c r="G374" s="3">
        <f t="shared" si="6"/>
        <v>-37.700000000000003</v>
      </c>
      <c r="H374" s="4" t="s">
        <v>512</v>
      </c>
      <c r="I374" t="s">
        <v>511</v>
      </c>
      <c r="K374" t="s">
        <v>681</v>
      </c>
      <c r="L374" t="s">
        <v>671</v>
      </c>
      <c r="N374" t="s">
        <v>688</v>
      </c>
      <c r="O374" t="s">
        <v>687</v>
      </c>
      <c r="P374" t="s">
        <v>688</v>
      </c>
      <c r="Q374" t="s">
        <v>687</v>
      </c>
      <c r="S374" t="s">
        <v>700</v>
      </c>
      <c r="T374" t="s">
        <v>704</v>
      </c>
    </row>
    <row r="375" spans="1:20" x14ac:dyDescent="0.2">
      <c r="A375" t="s">
        <v>651</v>
      </c>
      <c r="B375">
        <v>14</v>
      </c>
      <c r="C375" t="s">
        <v>513</v>
      </c>
      <c r="D375" t="s">
        <v>694</v>
      </c>
      <c r="E375" s="3">
        <v>-24.2</v>
      </c>
      <c r="F375" s="3">
        <f>38.5-60</f>
        <v>-21.5</v>
      </c>
      <c r="G375" s="3">
        <f t="shared" si="6"/>
        <v>-15.799999999999997</v>
      </c>
      <c r="H375" s="4" t="s">
        <v>793</v>
      </c>
      <c r="I375" t="s">
        <v>513</v>
      </c>
      <c r="K375" t="s">
        <v>681</v>
      </c>
      <c r="L375" t="s">
        <v>672</v>
      </c>
      <c r="N375" t="s">
        <v>687</v>
      </c>
      <c r="O375" t="s">
        <v>687</v>
      </c>
      <c r="P375" t="s">
        <v>687</v>
      </c>
      <c r="Q375" t="s">
        <v>687</v>
      </c>
      <c r="S375" t="s">
        <v>700</v>
      </c>
      <c r="T375" t="s">
        <v>704</v>
      </c>
    </row>
    <row r="376" spans="1:20" x14ac:dyDescent="0.2">
      <c r="A376" t="s">
        <v>651</v>
      </c>
      <c r="B376">
        <v>15</v>
      </c>
      <c r="C376" t="s">
        <v>514</v>
      </c>
      <c r="D376" t="s">
        <v>694</v>
      </c>
      <c r="E376" s="3">
        <v>-17.8</v>
      </c>
      <c r="F376" s="3">
        <f>48.3-50.7</f>
        <v>-2.4000000000000057</v>
      </c>
      <c r="G376" s="3">
        <f t="shared" si="6"/>
        <v>-9.4</v>
      </c>
      <c r="H376" s="4" t="s">
        <v>515</v>
      </c>
      <c r="I376" t="s">
        <v>514</v>
      </c>
      <c r="K376" t="s">
        <v>675</v>
      </c>
      <c r="L376" t="s">
        <v>671</v>
      </c>
      <c r="N376" t="s">
        <v>688</v>
      </c>
      <c r="O376" t="s">
        <v>688</v>
      </c>
      <c r="P376" t="s">
        <v>688</v>
      </c>
      <c r="Q376" t="s">
        <v>690</v>
      </c>
      <c r="S376" t="s">
        <v>700</v>
      </c>
      <c r="T376" t="s">
        <v>704</v>
      </c>
    </row>
    <row r="377" spans="1:20" x14ac:dyDescent="0.2">
      <c r="A377" t="s">
        <v>651</v>
      </c>
      <c r="B377">
        <v>16</v>
      </c>
      <c r="C377" t="s">
        <v>516</v>
      </c>
      <c r="D377" t="s">
        <v>695</v>
      </c>
      <c r="E377" s="3">
        <v>16.3</v>
      </c>
      <c r="F377" s="3">
        <f>67-31.4</f>
        <v>35.6</v>
      </c>
      <c r="G377" s="3">
        <f t="shared" si="6"/>
        <v>24.700000000000003</v>
      </c>
      <c r="H377" t="s">
        <v>516</v>
      </c>
      <c r="I377" s="4" t="s">
        <v>517</v>
      </c>
      <c r="J377" s="4"/>
      <c r="K377" t="s">
        <v>675</v>
      </c>
      <c r="L377" t="s">
        <v>668</v>
      </c>
      <c r="N377" t="s">
        <v>688</v>
      </c>
      <c r="O377" t="s">
        <v>688</v>
      </c>
      <c r="P377" t="s">
        <v>688</v>
      </c>
      <c r="Q377" t="s">
        <v>690</v>
      </c>
      <c r="S377" t="s">
        <v>700</v>
      </c>
      <c r="T377" t="s">
        <v>704</v>
      </c>
    </row>
    <row r="378" spans="1:20" x14ac:dyDescent="0.2">
      <c r="A378" t="s">
        <v>651</v>
      </c>
      <c r="B378">
        <v>17</v>
      </c>
      <c r="C378" t="s">
        <v>518</v>
      </c>
      <c r="D378" t="s">
        <v>694</v>
      </c>
      <c r="E378" s="3">
        <f>39.8-57.8</f>
        <v>-18</v>
      </c>
      <c r="F378" s="3">
        <f>41.5-56.7</f>
        <v>-15.200000000000003</v>
      </c>
      <c r="G378" s="3">
        <f t="shared" si="6"/>
        <v>-9.6</v>
      </c>
      <c r="H378" s="4" t="s">
        <v>519</v>
      </c>
      <c r="I378" t="s">
        <v>518</v>
      </c>
      <c r="K378" t="s">
        <v>681</v>
      </c>
      <c r="L378" t="s">
        <v>671</v>
      </c>
      <c r="N378" t="s">
        <v>687</v>
      </c>
      <c r="O378" t="s">
        <v>687</v>
      </c>
      <c r="P378" t="s">
        <v>687</v>
      </c>
      <c r="Q378" t="s">
        <v>687</v>
      </c>
      <c r="S378" t="s">
        <v>700</v>
      </c>
      <c r="T378" t="s">
        <v>704</v>
      </c>
    </row>
    <row r="379" spans="1:20" x14ac:dyDescent="0.2">
      <c r="A379" t="s">
        <v>651</v>
      </c>
      <c r="B379">
        <v>18</v>
      </c>
      <c r="C379" t="s">
        <v>520</v>
      </c>
      <c r="D379" t="s">
        <v>695</v>
      </c>
      <c r="E379" s="3">
        <v>54.8</v>
      </c>
      <c r="F379" s="3">
        <f>81.2-17.6</f>
        <v>63.6</v>
      </c>
      <c r="G379" s="3">
        <f t="shared" si="6"/>
        <v>63.199999999999996</v>
      </c>
      <c r="H379" t="s">
        <v>521</v>
      </c>
      <c r="I379" s="4" t="s">
        <v>522</v>
      </c>
      <c r="J379" s="4"/>
      <c r="K379" t="s">
        <v>682</v>
      </c>
      <c r="L379" t="s">
        <v>668</v>
      </c>
      <c r="N379" t="s">
        <v>687</v>
      </c>
      <c r="O379" t="s">
        <v>688</v>
      </c>
      <c r="P379" t="s">
        <v>689</v>
      </c>
      <c r="Q379" t="s">
        <v>689</v>
      </c>
      <c r="S379" t="s">
        <v>700</v>
      </c>
      <c r="T379" t="s">
        <v>704</v>
      </c>
    </row>
    <row r="380" spans="1:20" x14ac:dyDescent="0.2">
      <c r="A380" t="s">
        <v>651</v>
      </c>
      <c r="B380">
        <v>19</v>
      </c>
      <c r="C380" t="s">
        <v>523</v>
      </c>
      <c r="D380" t="s">
        <v>694</v>
      </c>
      <c r="E380" s="3">
        <v>-51.6</v>
      </c>
      <c r="F380" s="3">
        <f>26.1-72.3</f>
        <v>-46.199999999999996</v>
      </c>
      <c r="G380" s="3">
        <f t="shared" si="6"/>
        <v>-43.2</v>
      </c>
      <c r="H380" s="4" t="s">
        <v>524</v>
      </c>
      <c r="I380" s="4" t="s">
        <v>525</v>
      </c>
      <c r="J380" s="4"/>
      <c r="K380" t="s">
        <v>681</v>
      </c>
      <c r="L380" t="s">
        <v>671</v>
      </c>
      <c r="N380" t="s">
        <v>688</v>
      </c>
      <c r="O380" t="s">
        <v>687</v>
      </c>
      <c r="P380" t="s">
        <v>688</v>
      </c>
      <c r="Q380" t="s">
        <v>689</v>
      </c>
      <c r="S380" t="s">
        <v>700</v>
      </c>
      <c r="T380" t="s">
        <v>704</v>
      </c>
    </row>
    <row r="381" spans="1:20" x14ac:dyDescent="0.2">
      <c r="A381" t="s">
        <v>651</v>
      </c>
      <c r="B381">
        <v>20</v>
      </c>
      <c r="C381" t="s">
        <v>526</v>
      </c>
      <c r="D381" t="s">
        <v>695</v>
      </c>
      <c r="E381" s="3">
        <v>28.4</v>
      </c>
      <c r="F381" s="3">
        <f>69.3-29.1</f>
        <v>40.199999999999996</v>
      </c>
      <c r="G381" s="3">
        <f t="shared" si="6"/>
        <v>36.799999999999997</v>
      </c>
      <c r="H381" t="s">
        <v>526</v>
      </c>
      <c r="I381" s="4" t="s">
        <v>527</v>
      </c>
      <c r="J381" s="4"/>
      <c r="K381" t="s">
        <v>682</v>
      </c>
      <c r="L381" t="s">
        <v>668</v>
      </c>
      <c r="N381" t="s">
        <v>688</v>
      </c>
      <c r="O381" t="s">
        <v>688</v>
      </c>
      <c r="P381" t="s">
        <v>687</v>
      </c>
      <c r="Q381" t="s">
        <v>690</v>
      </c>
      <c r="S381" t="s">
        <v>700</v>
      </c>
      <c r="T381" t="s">
        <v>704</v>
      </c>
    </row>
    <row r="382" spans="1:20" x14ac:dyDescent="0.2">
      <c r="A382" t="s">
        <v>651</v>
      </c>
      <c r="B382">
        <v>21</v>
      </c>
      <c r="C382" t="s">
        <v>528</v>
      </c>
      <c r="D382" t="s">
        <v>694</v>
      </c>
      <c r="E382" s="3">
        <v>-21.8</v>
      </c>
      <c r="F382" s="3">
        <f>40.9-57.6</f>
        <v>-16.700000000000003</v>
      </c>
      <c r="G382" s="3">
        <f t="shared" si="6"/>
        <v>-13.4</v>
      </c>
      <c r="H382" s="4" t="s">
        <v>529</v>
      </c>
      <c r="I382" s="4" t="s">
        <v>530</v>
      </c>
      <c r="J382" s="4"/>
      <c r="K382" t="s">
        <v>682</v>
      </c>
      <c r="L382" t="s">
        <v>671</v>
      </c>
      <c r="N382" t="s">
        <v>689</v>
      </c>
      <c r="O382" t="s">
        <v>687</v>
      </c>
      <c r="P382" t="s">
        <v>688</v>
      </c>
      <c r="Q382" t="s">
        <v>689</v>
      </c>
      <c r="S382" t="s">
        <v>700</v>
      </c>
      <c r="T382" t="s">
        <v>704</v>
      </c>
    </row>
    <row r="383" spans="1:20" x14ac:dyDescent="0.2">
      <c r="A383" t="s">
        <v>651</v>
      </c>
      <c r="B383">
        <v>22</v>
      </c>
      <c r="C383" t="s">
        <v>531</v>
      </c>
      <c r="D383" t="s">
        <v>694</v>
      </c>
      <c r="E383" s="3">
        <v>-22.1</v>
      </c>
      <c r="F383" s="3">
        <f>40.6-57.8</f>
        <v>-17.199999999999996</v>
      </c>
      <c r="G383" s="3">
        <f t="shared" si="6"/>
        <v>-13.700000000000001</v>
      </c>
      <c r="H383" s="4" t="s">
        <v>532</v>
      </c>
      <c r="I383" s="4" t="s">
        <v>533</v>
      </c>
      <c r="J383" s="4"/>
      <c r="K383" t="s">
        <v>682</v>
      </c>
      <c r="L383" t="s">
        <v>671</v>
      </c>
      <c r="N383" t="s">
        <v>689</v>
      </c>
      <c r="O383" t="s">
        <v>687</v>
      </c>
      <c r="P383" t="s">
        <v>687</v>
      </c>
      <c r="Q383" t="s">
        <v>687</v>
      </c>
      <c r="S383" t="s">
        <v>700</v>
      </c>
      <c r="T383" t="s">
        <v>704</v>
      </c>
    </row>
    <row r="384" spans="1:20" x14ac:dyDescent="0.2">
      <c r="A384" t="s">
        <v>651</v>
      </c>
      <c r="B384">
        <v>23</v>
      </c>
      <c r="C384" t="s">
        <v>534</v>
      </c>
      <c r="D384" t="s">
        <v>694</v>
      </c>
      <c r="E384" s="3">
        <v>-14.7</v>
      </c>
      <c r="F384" s="3">
        <f>45.7-52.9</f>
        <v>-7.1999999999999957</v>
      </c>
      <c r="G384" s="3">
        <f t="shared" si="6"/>
        <v>-6.2999999999999989</v>
      </c>
      <c r="H384" s="4" t="s">
        <v>535</v>
      </c>
      <c r="I384" s="4" t="s">
        <v>536</v>
      </c>
      <c r="J384" s="4"/>
      <c r="K384" t="s">
        <v>675</v>
      </c>
      <c r="L384" t="s">
        <v>671</v>
      </c>
      <c r="N384" t="s">
        <v>687</v>
      </c>
      <c r="O384" t="s">
        <v>688</v>
      </c>
      <c r="P384" t="s">
        <v>688</v>
      </c>
      <c r="Q384" t="s">
        <v>690</v>
      </c>
      <c r="S384" t="s">
        <v>700</v>
      </c>
      <c r="T384" t="s">
        <v>704</v>
      </c>
    </row>
    <row r="385" spans="1:20" x14ac:dyDescent="0.2">
      <c r="A385" t="s">
        <v>651</v>
      </c>
      <c r="B385">
        <v>24</v>
      </c>
      <c r="C385" t="s">
        <v>537</v>
      </c>
      <c r="D385" t="s">
        <v>694</v>
      </c>
      <c r="E385" s="3">
        <v>-16</v>
      </c>
      <c r="F385" s="3">
        <f>43-55.4</f>
        <v>-12.399999999999999</v>
      </c>
      <c r="G385" s="3">
        <f t="shared" si="6"/>
        <v>-7.6</v>
      </c>
      <c r="H385" s="4" t="s">
        <v>538</v>
      </c>
      <c r="I385" t="s">
        <v>537</v>
      </c>
      <c r="K385" t="s">
        <v>682</v>
      </c>
      <c r="L385" t="s">
        <v>669</v>
      </c>
      <c r="N385" t="s">
        <v>690</v>
      </c>
      <c r="O385" t="s">
        <v>689</v>
      </c>
      <c r="P385" t="s">
        <v>688</v>
      </c>
      <c r="Q385" t="s">
        <v>687</v>
      </c>
      <c r="S385" t="s">
        <v>700</v>
      </c>
      <c r="T385" t="s">
        <v>704</v>
      </c>
    </row>
    <row r="386" spans="1:20" x14ac:dyDescent="0.2">
      <c r="A386" t="s">
        <v>651</v>
      </c>
      <c r="B386">
        <v>25</v>
      </c>
      <c r="C386" t="s">
        <v>539</v>
      </c>
      <c r="D386" t="s">
        <v>694</v>
      </c>
      <c r="E386" s="3">
        <v>-24</v>
      </c>
      <c r="F386" s="3">
        <f>41.4-57.2</f>
        <v>-15.800000000000004</v>
      </c>
      <c r="G386" s="3">
        <f t="shared" ref="G386:G436" si="7">E386+6.9+1.5</f>
        <v>-15.600000000000001</v>
      </c>
      <c r="H386" s="4" t="s">
        <v>540</v>
      </c>
      <c r="I386" t="s">
        <v>539</v>
      </c>
      <c r="K386" t="s">
        <v>682</v>
      </c>
      <c r="L386" t="s">
        <v>672</v>
      </c>
      <c r="N386" t="s">
        <v>687</v>
      </c>
      <c r="O386" t="s">
        <v>687</v>
      </c>
      <c r="P386" t="s">
        <v>687</v>
      </c>
      <c r="Q386" t="s">
        <v>687</v>
      </c>
      <c r="S386" t="s">
        <v>700</v>
      </c>
      <c r="T386" t="s">
        <v>704</v>
      </c>
    </row>
    <row r="387" spans="1:20" x14ac:dyDescent="0.2">
      <c r="A387" t="s">
        <v>651</v>
      </c>
      <c r="B387">
        <v>26</v>
      </c>
      <c r="C387" t="s">
        <v>541</v>
      </c>
      <c r="D387" t="s">
        <v>694</v>
      </c>
      <c r="E387" s="3">
        <v>-23.7</v>
      </c>
      <c r="F387" s="3">
        <f>40-58.5</f>
        <v>-18.5</v>
      </c>
      <c r="G387" s="3">
        <f t="shared" si="7"/>
        <v>-15.299999999999997</v>
      </c>
      <c r="H387" s="4" t="s">
        <v>542</v>
      </c>
      <c r="I387" t="s">
        <v>541</v>
      </c>
      <c r="K387" t="s">
        <v>682</v>
      </c>
      <c r="L387" t="s">
        <v>669</v>
      </c>
      <c r="N387" t="s">
        <v>689</v>
      </c>
      <c r="O387" t="s">
        <v>687</v>
      </c>
      <c r="P387" t="s">
        <v>687</v>
      </c>
      <c r="Q387" t="s">
        <v>687</v>
      </c>
      <c r="S387" t="s">
        <v>700</v>
      </c>
      <c r="T387" t="s">
        <v>704</v>
      </c>
    </row>
    <row r="388" spans="1:20" x14ac:dyDescent="0.2">
      <c r="A388" t="s">
        <v>651</v>
      </c>
      <c r="B388">
        <v>27</v>
      </c>
      <c r="C388" t="s">
        <v>543</v>
      </c>
      <c r="D388" t="s">
        <v>694</v>
      </c>
      <c r="E388" s="3">
        <v>-21.1</v>
      </c>
      <c r="F388" s="3">
        <f>40.6-57.8</f>
        <v>-17.199999999999996</v>
      </c>
      <c r="G388" s="3">
        <f t="shared" si="7"/>
        <v>-12.700000000000001</v>
      </c>
      <c r="H388" s="4" t="s">
        <v>544</v>
      </c>
      <c r="I388" t="s">
        <v>543</v>
      </c>
      <c r="K388" t="s">
        <v>682</v>
      </c>
      <c r="L388" t="s">
        <v>672</v>
      </c>
      <c r="N388" t="s">
        <v>687</v>
      </c>
      <c r="O388" t="s">
        <v>687</v>
      </c>
      <c r="P388" t="s">
        <v>688</v>
      </c>
      <c r="Q388" t="s">
        <v>689</v>
      </c>
      <c r="S388" t="s">
        <v>700</v>
      </c>
      <c r="T388" t="s">
        <v>704</v>
      </c>
    </row>
    <row r="389" spans="1:20" x14ac:dyDescent="0.2">
      <c r="A389" t="s">
        <v>651</v>
      </c>
      <c r="B389">
        <v>28</v>
      </c>
      <c r="C389" t="s">
        <v>545</v>
      </c>
      <c r="D389" t="s">
        <v>695</v>
      </c>
      <c r="E389" s="3">
        <v>-10.3</v>
      </c>
      <c r="F389" s="3">
        <f>54.3-44.7</f>
        <v>9.5999999999999943</v>
      </c>
      <c r="G389" s="3">
        <f t="shared" si="7"/>
        <v>-1.9000000000000004</v>
      </c>
      <c r="H389" t="s">
        <v>545</v>
      </c>
      <c r="I389" s="4" t="s">
        <v>546</v>
      </c>
      <c r="J389" s="4"/>
      <c r="K389" t="s">
        <v>675</v>
      </c>
      <c r="L389" t="s">
        <v>671</v>
      </c>
      <c r="N389" t="s">
        <v>688</v>
      </c>
      <c r="O389" t="s">
        <v>688</v>
      </c>
      <c r="P389" t="s">
        <v>688</v>
      </c>
      <c r="Q389" t="s">
        <v>690</v>
      </c>
      <c r="S389" t="s">
        <v>700</v>
      </c>
      <c r="T389" t="s">
        <v>704</v>
      </c>
    </row>
    <row r="390" spans="1:20" x14ac:dyDescent="0.2">
      <c r="A390" t="s">
        <v>651</v>
      </c>
      <c r="B390">
        <v>29</v>
      </c>
      <c r="C390" t="s">
        <v>547</v>
      </c>
      <c r="D390" t="s">
        <v>695</v>
      </c>
      <c r="E390" s="3">
        <v>30.4</v>
      </c>
      <c r="F390" s="3">
        <f>70.9-27.9</f>
        <v>43.000000000000007</v>
      </c>
      <c r="G390" s="3">
        <f t="shared" si="7"/>
        <v>38.799999999999997</v>
      </c>
      <c r="H390" s="6" t="s">
        <v>547</v>
      </c>
      <c r="I390" s="4" t="s">
        <v>548</v>
      </c>
      <c r="J390" s="4"/>
      <c r="K390" t="s">
        <v>682</v>
      </c>
      <c r="L390" t="s">
        <v>668</v>
      </c>
      <c r="N390" t="s">
        <v>688</v>
      </c>
      <c r="O390" t="s">
        <v>688</v>
      </c>
      <c r="P390" t="s">
        <v>689</v>
      </c>
      <c r="Q390" t="s">
        <v>690</v>
      </c>
      <c r="S390" t="s">
        <v>700</v>
      </c>
      <c r="T390" t="s">
        <v>704</v>
      </c>
    </row>
    <row r="391" spans="1:20" x14ac:dyDescent="0.2">
      <c r="A391" t="s">
        <v>651</v>
      </c>
      <c r="B391">
        <v>30</v>
      </c>
      <c r="C391" t="s">
        <v>549</v>
      </c>
      <c r="D391" t="s">
        <v>695</v>
      </c>
      <c r="E391" s="3">
        <v>40.700000000000003</v>
      </c>
      <c r="F391" s="3">
        <f>77.8-21</f>
        <v>56.8</v>
      </c>
      <c r="G391" s="3">
        <f t="shared" si="7"/>
        <v>49.1</v>
      </c>
      <c r="H391" s="4" t="s">
        <v>550</v>
      </c>
      <c r="I391" s="4" t="s">
        <v>551</v>
      </c>
      <c r="J391" s="4"/>
      <c r="K391" t="s">
        <v>682</v>
      </c>
      <c r="L391" t="s">
        <v>668</v>
      </c>
      <c r="N391" t="s">
        <v>688</v>
      </c>
      <c r="O391" t="s">
        <v>688</v>
      </c>
      <c r="P391" t="s">
        <v>690</v>
      </c>
      <c r="Q391" t="s">
        <v>689</v>
      </c>
      <c r="S391" t="s">
        <v>700</v>
      </c>
      <c r="T391" t="s">
        <v>704</v>
      </c>
    </row>
    <row r="392" spans="1:20" x14ac:dyDescent="0.2">
      <c r="A392" t="s">
        <v>651</v>
      </c>
      <c r="B392">
        <v>31</v>
      </c>
      <c r="C392" t="s">
        <v>552</v>
      </c>
      <c r="D392" t="s">
        <v>694</v>
      </c>
      <c r="E392" s="3">
        <v>-21.8</v>
      </c>
      <c r="F392" s="3">
        <f>40.1-57.8</f>
        <v>-17.699999999999996</v>
      </c>
      <c r="G392" s="3">
        <f t="shared" si="7"/>
        <v>-13.4</v>
      </c>
      <c r="H392" s="4" t="s">
        <v>553</v>
      </c>
      <c r="I392" t="s">
        <v>552</v>
      </c>
      <c r="K392" t="s">
        <v>682</v>
      </c>
      <c r="L392" t="s">
        <v>672</v>
      </c>
      <c r="N392" t="s">
        <v>687</v>
      </c>
      <c r="O392" t="s">
        <v>687</v>
      </c>
      <c r="P392" t="s">
        <v>687</v>
      </c>
      <c r="Q392" t="s">
        <v>687</v>
      </c>
      <c r="S392" t="s">
        <v>700</v>
      </c>
      <c r="T392" t="s">
        <v>704</v>
      </c>
    </row>
    <row r="393" spans="1:20" x14ac:dyDescent="0.2">
      <c r="A393" t="s">
        <v>651</v>
      </c>
      <c r="B393">
        <v>32</v>
      </c>
      <c r="C393" t="s">
        <v>321</v>
      </c>
      <c r="D393" t="s">
        <v>695</v>
      </c>
      <c r="E393" s="3">
        <v>-17.7</v>
      </c>
      <c r="F393" s="3">
        <f>44.2-54.3</f>
        <v>-10.099999999999994</v>
      </c>
      <c r="G393" s="3">
        <f t="shared" si="7"/>
        <v>-9.2999999999999989</v>
      </c>
      <c r="H393" s="4" t="s">
        <v>554</v>
      </c>
      <c r="I393" s="4" t="s">
        <v>555</v>
      </c>
      <c r="J393" s="4"/>
      <c r="K393" t="s">
        <v>682</v>
      </c>
      <c r="L393" t="s">
        <v>672</v>
      </c>
      <c r="N393" t="s">
        <v>689</v>
      </c>
      <c r="O393" t="s">
        <v>687</v>
      </c>
      <c r="P393" t="s">
        <v>687</v>
      </c>
      <c r="Q393" t="s">
        <v>687</v>
      </c>
      <c r="S393" t="s">
        <v>700</v>
      </c>
      <c r="T393" t="s">
        <v>704</v>
      </c>
    </row>
    <row r="394" spans="1:20" x14ac:dyDescent="0.2">
      <c r="A394" t="s">
        <v>651</v>
      </c>
      <c r="B394">
        <v>33</v>
      </c>
      <c r="C394" t="s">
        <v>556</v>
      </c>
      <c r="D394" t="s">
        <v>695</v>
      </c>
      <c r="E394" s="3">
        <v>32.5</v>
      </c>
      <c r="F394" s="3">
        <f>71.7-26.8</f>
        <v>44.900000000000006</v>
      </c>
      <c r="G394" s="3">
        <f t="shared" si="7"/>
        <v>40.9</v>
      </c>
      <c r="H394" s="4" t="s">
        <v>557</v>
      </c>
      <c r="I394" s="4" t="s">
        <v>558</v>
      </c>
      <c r="J394" s="4"/>
      <c r="K394" t="s">
        <v>682</v>
      </c>
      <c r="L394" t="s">
        <v>668</v>
      </c>
      <c r="N394" t="s">
        <v>687</v>
      </c>
      <c r="O394" t="s">
        <v>688</v>
      </c>
      <c r="P394" t="s">
        <v>687</v>
      </c>
      <c r="Q394" t="s">
        <v>690</v>
      </c>
      <c r="S394" t="s">
        <v>700</v>
      </c>
      <c r="T394" t="s">
        <v>704</v>
      </c>
    </row>
    <row r="395" spans="1:20" x14ac:dyDescent="0.2">
      <c r="A395" t="s">
        <v>651</v>
      </c>
      <c r="B395">
        <v>34</v>
      </c>
      <c r="C395" t="s">
        <v>559</v>
      </c>
      <c r="D395" t="s">
        <v>695</v>
      </c>
      <c r="E395" s="3">
        <v>-10.1</v>
      </c>
      <c r="F395" s="3">
        <f>50.8-47.9</f>
        <v>2.8999999999999986</v>
      </c>
      <c r="G395" s="3">
        <f t="shared" si="7"/>
        <v>-1.6999999999999993</v>
      </c>
      <c r="H395" t="s">
        <v>559</v>
      </c>
      <c r="I395" s="4" t="s">
        <v>560</v>
      </c>
      <c r="J395" s="4"/>
      <c r="K395" t="s">
        <v>675</v>
      </c>
      <c r="L395" t="s">
        <v>671</v>
      </c>
      <c r="N395" t="s">
        <v>688</v>
      </c>
      <c r="O395" t="s">
        <v>688</v>
      </c>
      <c r="P395" t="s">
        <v>688</v>
      </c>
      <c r="Q395" t="s">
        <v>690</v>
      </c>
      <c r="S395" t="s">
        <v>700</v>
      </c>
      <c r="T395" t="s">
        <v>704</v>
      </c>
    </row>
    <row r="396" spans="1:20" x14ac:dyDescent="0.2">
      <c r="A396" t="s">
        <v>651</v>
      </c>
      <c r="B396">
        <v>35</v>
      </c>
      <c r="C396" t="s">
        <v>321</v>
      </c>
      <c r="D396" t="s">
        <v>695</v>
      </c>
      <c r="E396" s="3">
        <v>-10.4</v>
      </c>
      <c r="F396" s="3">
        <f>48.3-50.2</f>
        <v>-1.9000000000000057</v>
      </c>
      <c r="G396" s="3">
        <f t="shared" si="7"/>
        <v>-2</v>
      </c>
      <c r="H396" s="4" t="s">
        <v>561</v>
      </c>
      <c r="I396" s="4" t="s">
        <v>562</v>
      </c>
      <c r="J396" s="4"/>
      <c r="K396" t="s">
        <v>682</v>
      </c>
      <c r="L396" t="s">
        <v>672</v>
      </c>
      <c r="N396" t="s">
        <v>688</v>
      </c>
      <c r="O396" t="s">
        <v>688</v>
      </c>
      <c r="P396" t="s">
        <v>688</v>
      </c>
      <c r="Q396" t="s">
        <v>690</v>
      </c>
      <c r="S396" t="s">
        <v>700</v>
      </c>
      <c r="T396" t="s">
        <v>704</v>
      </c>
    </row>
    <row r="397" spans="1:20" x14ac:dyDescent="0.2">
      <c r="A397" t="s">
        <v>651</v>
      </c>
      <c r="B397">
        <v>36</v>
      </c>
      <c r="C397" t="s">
        <v>563</v>
      </c>
      <c r="D397" t="s">
        <v>694</v>
      </c>
      <c r="E397" s="3">
        <v>-24.9</v>
      </c>
      <c r="F397" s="3">
        <f>40.2-58.6</f>
        <v>-18.399999999999999</v>
      </c>
      <c r="G397" s="3">
        <f t="shared" si="7"/>
        <v>-16.5</v>
      </c>
      <c r="H397" s="4" t="s">
        <v>564</v>
      </c>
      <c r="I397" t="s">
        <v>563</v>
      </c>
      <c r="K397" t="s">
        <v>682</v>
      </c>
      <c r="L397" t="s">
        <v>671</v>
      </c>
      <c r="N397" t="s">
        <v>687</v>
      </c>
      <c r="O397" t="s">
        <v>687</v>
      </c>
      <c r="P397" t="s">
        <v>687</v>
      </c>
      <c r="Q397" t="s">
        <v>687</v>
      </c>
      <c r="S397" t="s">
        <v>700</v>
      </c>
      <c r="T397" t="s">
        <v>704</v>
      </c>
    </row>
    <row r="398" spans="1:20" x14ac:dyDescent="0.2">
      <c r="A398" t="s">
        <v>651</v>
      </c>
      <c r="B398">
        <v>37</v>
      </c>
      <c r="C398" t="s">
        <v>565</v>
      </c>
      <c r="D398" t="s">
        <v>695</v>
      </c>
      <c r="E398" s="3">
        <v>56.2</v>
      </c>
      <c r="F398" s="3">
        <f>80.1-17.7</f>
        <v>62.399999999999991</v>
      </c>
      <c r="G398" s="3">
        <f t="shared" si="7"/>
        <v>64.599999999999994</v>
      </c>
      <c r="H398" t="s">
        <v>565</v>
      </c>
      <c r="I398" s="4" t="s">
        <v>566</v>
      </c>
      <c r="J398" s="4"/>
      <c r="K398" t="s">
        <v>682</v>
      </c>
      <c r="L398" t="s">
        <v>672</v>
      </c>
      <c r="N398" t="s">
        <v>690</v>
      </c>
      <c r="O398" t="s">
        <v>687</v>
      </c>
      <c r="P398" t="s">
        <v>688</v>
      </c>
      <c r="Q398" t="s">
        <v>689</v>
      </c>
      <c r="S398" t="s">
        <v>700</v>
      </c>
      <c r="T398" t="s">
        <v>704</v>
      </c>
    </row>
    <row r="399" spans="1:20" x14ac:dyDescent="0.2">
      <c r="A399" t="s">
        <v>651</v>
      </c>
      <c r="B399">
        <v>38</v>
      </c>
      <c r="C399" t="s">
        <v>567</v>
      </c>
      <c r="D399" t="s">
        <v>694</v>
      </c>
      <c r="E399" s="3">
        <v>-20.9</v>
      </c>
      <c r="F399" s="3">
        <f>40.4-58.2</f>
        <v>-17.800000000000004</v>
      </c>
      <c r="G399" s="3">
        <f t="shared" si="7"/>
        <v>-12.499999999999998</v>
      </c>
      <c r="H399" s="4" t="s">
        <v>568</v>
      </c>
      <c r="I399" s="4" t="s">
        <v>569</v>
      </c>
      <c r="J399" s="4"/>
      <c r="K399" t="s">
        <v>682</v>
      </c>
      <c r="L399" t="s">
        <v>672</v>
      </c>
      <c r="N399" t="s">
        <v>690</v>
      </c>
      <c r="O399" t="s">
        <v>687</v>
      </c>
      <c r="P399" t="s">
        <v>687</v>
      </c>
      <c r="Q399" t="s">
        <v>687</v>
      </c>
      <c r="S399" t="s">
        <v>700</v>
      </c>
      <c r="T399" t="s">
        <v>704</v>
      </c>
    </row>
    <row r="400" spans="1:20" x14ac:dyDescent="0.2">
      <c r="A400" t="s">
        <v>652</v>
      </c>
      <c r="B400">
        <v>1</v>
      </c>
      <c r="C400" t="s">
        <v>570</v>
      </c>
      <c r="D400" t="s">
        <v>694</v>
      </c>
      <c r="E400" s="3">
        <v>23.6</v>
      </c>
      <c r="F400" s="3">
        <f>60.4-35.8</f>
        <v>24.6</v>
      </c>
      <c r="G400" s="3">
        <f t="shared" si="7"/>
        <v>32</v>
      </c>
      <c r="H400" s="4" t="s">
        <v>870</v>
      </c>
      <c r="I400" s="4" t="s">
        <v>871</v>
      </c>
      <c r="K400" t="s">
        <v>666</v>
      </c>
      <c r="L400" t="s">
        <v>668</v>
      </c>
      <c r="N400" t="s">
        <v>687</v>
      </c>
      <c r="O400" t="s">
        <v>689</v>
      </c>
      <c r="P400" t="s">
        <v>688</v>
      </c>
      <c r="Q400" t="s">
        <v>687</v>
      </c>
      <c r="S400" t="s">
        <v>700</v>
      </c>
      <c r="T400" t="s">
        <v>703</v>
      </c>
    </row>
    <row r="401" spans="1:20" x14ac:dyDescent="0.2">
      <c r="A401" t="s">
        <v>652</v>
      </c>
      <c r="B401">
        <v>2</v>
      </c>
      <c r="C401" t="s">
        <v>571</v>
      </c>
      <c r="D401" t="s">
        <v>694</v>
      </c>
      <c r="E401" s="3">
        <v>-28.9</v>
      </c>
      <c r="F401" s="3">
        <f>32.5-62.9</f>
        <v>-30.4</v>
      </c>
      <c r="G401" s="3">
        <f t="shared" si="7"/>
        <v>-20.5</v>
      </c>
      <c r="H401" s="4" t="s">
        <v>872</v>
      </c>
      <c r="I401" s="6" t="s">
        <v>570</v>
      </c>
      <c r="K401" t="s">
        <v>666</v>
      </c>
      <c r="L401" t="s">
        <v>671</v>
      </c>
      <c r="N401" t="s">
        <v>687</v>
      </c>
      <c r="O401" t="s">
        <v>690</v>
      </c>
      <c r="P401" t="s">
        <v>688</v>
      </c>
      <c r="Q401" t="s">
        <v>688</v>
      </c>
      <c r="S401" t="s">
        <v>700</v>
      </c>
      <c r="T401" t="s">
        <v>703</v>
      </c>
    </row>
    <row r="402" spans="1:20" x14ac:dyDescent="0.2">
      <c r="A402" t="s">
        <v>652</v>
      </c>
      <c r="B402">
        <v>3</v>
      </c>
      <c r="C402" t="s">
        <v>572</v>
      </c>
      <c r="D402" t="s">
        <v>694</v>
      </c>
      <c r="E402" s="3">
        <v>-41.3</v>
      </c>
      <c r="F402" s="3">
        <f>27.7-68.4</f>
        <v>-40.700000000000003</v>
      </c>
      <c r="G402" s="3">
        <f t="shared" si="7"/>
        <v>-32.9</v>
      </c>
      <c r="H402" s="4" t="s">
        <v>873</v>
      </c>
      <c r="I402" s="6" t="s">
        <v>571</v>
      </c>
      <c r="K402" t="s">
        <v>666</v>
      </c>
      <c r="L402" t="s">
        <v>671</v>
      </c>
      <c r="N402" t="s">
        <v>687</v>
      </c>
      <c r="O402" t="s">
        <v>690</v>
      </c>
      <c r="P402" t="s">
        <v>688</v>
      </c>
      <c r="Q402" t="s">
        <v>688</v>
      </c>
      <c r="S402" t="s">
        <v>700</v>
      </c>
      <c r="T402" t="s">
        <v>703</v>
      </c>
    </row>
    <row r="403" spans="1:20" x14ac:dyDescent="0.2">
      <c r="A403" t="s">
        <v>652</v>
      </c>
      <c r="B403">
        <v>4</v>
      </c>
      <c r="C403" t="s">
        <v>573</v>
      </c>
      <c r="D403" t="s">
        <v>694</v>
      </c>
      <c r="E403" s="3">
        <v>-32.4</v>
      </c>
      <c r="F403" s="3">
        <f>31.3-64.3</f>
        <v>-33</v>
      </c>
      <c r="G403" s="3">
        <f t="shared" si="7"/>
        <v>-24</v>
      </c>
      <c r="H403" s="4" t="s">
        <v>874</v>
      </c>
      <c r="I403" s="6" t="s">
        <v>572</v>
      </c>
      <c r="K403" t="s">
        <v>666</v>
      </c>
      <c r="L403" t="s">
        <v>671</v>
      </c>
      <c r="N403" t="s">
        <v>689</v>
      </c>
      <c r="O403" t="s">
        <v>690</v>
      </c>
      <c r="P403" t="s">
        <v>688</v>
      </c>
      <c r="Q403" t="s">
        <v>688</v>
      </c>
      <c r="S403" t="s">
        <v>700</v>
      </c>
      <c r="T403" t="s">
        <v>703</v>
      </c>
    </row>
    <row r="404" spans="1:20" x14ac:dyDescent="0.2">
      <c r="A404" t="s">
        <v>653</v>
      </c>
      <c r="B404">
        <v>1</v>
      </c>
      <c r="C404" t="s">
        <v>574</v>
      </c>
      <c r="D404" t="s">
        <v>695</v>
      </c>
      <c r="E404" s="3">
        <v>34.799999999999997</v>
      </c>
      <c r="F404" s="3">
        <f>66.1-30.7</f>
        <v>35.399999999999991</v>
      </c>
      <c r="G404" s="3">
        <f t="shared" si="7"/>
        <v>43.199999999999996</v>
      </c>
      <c r="K404" t="s">
        <v>663</v>
      </c>
      <c r="L404" t="s">
        <v>671</v>
      </c>
      <c r="N404" t="s">
        <v>689</v>
      </c>
      <c r="O404" t="s">
        <v>690</v>
      </c>
      <c r="P404" t="s">
        <v>688</v>
      </c>
      <c r="Q404" t="s">
        <v>688</v>
      </c>
      <c r="S404" t="s">
        <v>700</v>
      </c>
      <c r="T404" t="s">
        <v>703</v>
      </c>
    </row>
    <row r="405" spans="1:20" x14ac:dyDescent="0.2">
      <c r="A405" t="s">
        <v>654</v>
      </c>
      <c r="B405">
        <v>1</v>
      </c>
      <c r="C405" t="s">
        <v>575</v>
      </c>
      <c r="D405" t="s">
        <v>694</v>
      </c>
      <c r="E405" s="3">
        <f>46.7-51.6</f>
        <v>-4.8999999999999986</v>
      </c>
      <c r="F405" s="3">
        <f>45.7-52.4</f>
        <v>-6.6999999999999957</v>
      </c>
      <c r="G405" s="3">
        <f t="shared" si="7"/>
        <v>3.5000000000000018</v>
      </c>
      <c r="K405" t="s">
        <v>676</v>
      </c>
      <c r="L405" t="s">
        <v>670</v>
      </c>
      <c r="N405" t="s">
        <v>689</v>
      </c>
      <c r="O405" t="s">
        <v>689</v>
      </c>
      <c r="P405" t="s">
        <v>687</v>
      </c>
      <c r="Q405" t="s">
        <v>688</v>
      </c>
      <c r="S405" t="s">
        <v>700</v>
      </c>
      <c r="T405" t="s">
        <v>703</v>
      </c>
    </row>
    <row r="406" spans="1:20" x14ac:dyDescent="0.2">
      <c r="A406" t="s">
        <v>654</v>
      </c>
      <c r="B406">
        <v>2</v>
      </c>
      <c r="C406" t="s">
        <v>576</v>
      </c>
      <c r="D406" t="s">
        <v>694</v>
      </c>
      <c r="E406" s="3">
        <f>49.1-49.3</f>
        <v>-0.19999999999999574</v>
      </c>
      <c r="F406" s="3">
        <f>50-48</f>
        <v>2</v>
      </c>
      <c r="G406" s="3">
        <f t="shared" si="7"/>
        <v>8.2000000000000046</v>
      </c>
      <c r="K406" t="s">
        <v>676</v>
      </c>
      <c r="L406" t="s">
        <v>672</v>
      </c>
      <c r="N406" t="s">
        <v>690</v>
      </c>
      <c r="O406" t="s">
        <v>689</v>
      </c>
      <c r="P406" t="s">
        <v>687</v>
      </c>
      <c r="Q406" t="s">
        <v>688</v>
      </c>
      <c r="S406" t="s">
        <v>700</v>
      </c>
      <c r="T406" t="s">
        <v>703</v>
      </c>
    </row>
    <row r="407" spans="1:20" x14ac:dyDescent="0.2">
      <c r="A407" t="s">
        <v>654</v>
      </c>
      <c r="B407">
        <v>3</v>
      </c>
      <c r="C407" t="s">
        <v>577</v>
      </c>
      <c r="D407" t="s">
        <v>695</v>
      </c>
      <c r="E407" s="3">
        <f>66.4-31.8</f>
        <v>34.600000000000009</v>
      </c>
      <c r="F407" s="3">
        <f>68-29.9</f>
        <v>38.1</v>
      </c>
      <c r="G407" s="3">
        <f t="shared" si="7"/>
        <v>43.000000000000007</v>
      </c>
      <c r="K407" t="s">
        <v>676</v>
      </c>
      <c r="L407" t="s">
        <v>668</v>
      </c>
      <c r="N407" t="s">
        <v>687</v>
      </c>
      <c r="O407" t="s">
        <v>688</v>
      </c>
      <c r="P407" t="s">
        <v>690</v>
      </c>
      <c r="Q407" t="s">
        <v>688</v>
      </c>
      <c r="S407" t="s">
        <v>700</v>
      </c>
      <c r="T407" t="s">
        <v>703</v>
      </c>
    </row>
    <row r="408" spans="1:20" x14ac:dyDescent="0.2">
      <c r="A408" t="s">
        <v>654</v>
      </c>
      <c r="B408">
        <v>4</v>
      </c>
      <c r="C408" t="s">
        <v>578</v>
      </c>
      <c r="D408" t="s">
        <v>695</v>
      </c>
      <c r="E408" s="3">
        <f>65.4-32.8</f>
        <v>32.600000000000009</v>
      </c>
      <c r="F408" s="3">
        <f>67.1-31.3</f>
        <v>35.799999999999997</v>
      </c>
      <c r="G408" s="3">
        <f t="shared" si="7"/>
        <v>41.000000000000007</v>
      </c>
      <c r="K408" t="s">
        <v>676</v>
      </c>
      <c r="L408" t="s">
        <v>672</v>
      </c>
      <c r="N408" t="s">
        <v>687</v>
      </c>
      <c r="O408" t="s">
        <v>687</v>
      </c>
      <c r="P408" t="s">
        <v>689</v>
      </c>
      <c r="Q408" t="s">
        <v>688</v>
      </c>
      <c r="S408" t="s">
        <v>700</v>
      </c>
      <c r="T408" t="s">
        <v>703</v>
      </c>
    </row>
    <row r="409" spans="1:20" x14ac:dyDescent="0.2">
      <c r="A409" t="s">
        <v>654</v>
      </c>
      <c r="B409">
        <v>5</v>
      </c>
      <c r="C409" t="s">
        <v>579</v>
      </c>
      <c r="D409" t="s">
        <v>694</v>
      </c>
      <c r="E409" s="3">
        <f>43.2-55.4</f>
        <v>-12.199999999999996</v>
      </c>
      <c r="F409" s="3">
        <f>45-53.2</f>
        <v>-8.2000000000000028</v>
      </c>
      <c r="G409" s="3">
        <f t="shared" si="7"/>
        <v>-3.7999999999999954</v>
      </c>
      <c r="K409" t="s">
        <v>676</v>
      </c>
      <c r="L409" t="s">
        <v>671</v>
      </c>
      <c r="N409" t="s">
        <v>687</v>
      </c>
      <c r="O409" t="s">
        <v>689</v>
      </c>
      <c r="P409" t="s">
        <v>687</v>
      </c>
      <c r="Q409" t="s">
        <v>688</v>
      </c>
      <c r="S409" t="s">
        <v>700</v>
      </c>
      <c r="T409" t="s">
        <v>703</v>
      </c>
    </row>
    <row r="410" spans="1:20" x14ac:dyDescent="0.2">
      <c r="A410" t="s">
        <v>654</v>
      </c>
      <c r="B410">
        <v>6</v>
      </c>
      <c r="C410" t="s">
        <v>580</v>
      </c>
      <c r="D410" t="s">
        <v>694</v>
      </c>
      <c r="E410" s="3">
        <f>37.2-61.2</f>
        <v>-24</v>
      </c>
      <c r="F410" s="3">
        <f>38-60.1</f>
        <v>-22.1</v>
      </c>
      <c r="G410" s="3">
        <f t="shared" si="7"/>
        <v>-15.600000000000001</v>
      </c>
      <c r="K410" t="s">
        <v>676</v>
      </c>
      <c r="L410" t="s">
        <v>671</v>
      </c>
      <c r="N410" t="s">
        <v>687</v>
      </c>
      <c r="O410" t="s">
        <v>689</v>
      </c>
      <c r="P410" t="s">
        <v>688</v>
      </c>
      <c r="Q410" t="s">
        <v>688</v>
      </c>
      <c r="S410" t="s">
        <v>700</v>
      </c>
      <c r="T410" t="s">
        <v>703</v>
      </c>
    </row>
    <row r="411" spans="1:20" x14ac:dyDescent="0.2">
      <c r="A411" t="s">
        <v>654</v>
      </c>
      <c r="B411">
        <v>7</v>
      </c>
      <c r="C411" t="s">
        <v>581</v>
      </c>
      <c r="D411" t="s">
        <v>695</v>
      </c>
      <c r="E411" s="3">
        <f>50.3-47.4</f>
        <v>2.8999999999999986</v>
      </c>
      <c r="F411" s="3">
        <f>52.4-45.7</f>
        <v>6.6999999999999957</v>
      </c>
      <c r="G411" s="3">
        <f t="shared" si="7"/>
        <v>11.299999999999999</v>
      </c>
      <c r="K411" t="s">
        <v>676</v>
      </c>
      <c r="L411" t="s">
        <v>669</v>
      </c>
      <c r="N411" t="s">
        <v>689</v>
      </c>
      <c r="O411" t="s">
        <v>687</v>
      </c>
      <c r="P411" t="s">
        <v>687</v>
      </c>
      <c r="Q411" t="s">
        <v>687</v>
      </c>
      <c r="S411" t="s">
        <v>700</v>
      </c>
      <c r="T411" t="s">
        <v>703</v>
      </c>
    </row>
    <row r="412" spans="1:20" x14ac:dyDescent="0.2">
      <c r="A412" t="s">
        <v>654</v>
      </c>
      <c r="B412">
        <v>8</v>
      </c>
      <c r="C412" t="s">
        <v>582</v>
      </c>
      <c r="D412" t="s">
        <v>695</v>
      </c>
      <c r="E412" s="3">
        <f>73-23.8</f>
        <v>49.2</v>
      </c>
      <c r="F412" s="3">
        <f>76.7-21.1</f>
        <v>55.6</v>
      </c>
      <c r="G412" s="3">
        <f t="shared" si="7"/>
        <v>57.6</v>
      </c>
      <c r="K412" t="s">
        <v>676</v>
      </c>
      <c r="L412" t="s">
        <v>669</v>
      </c>
      <c r="N412" t="s">
        <v>690</v>
      </c>
      <c r="O412" t="s">
        <v>687</v>
      </c>
      <c r="P412" t="s">
        <v>687</v>
      </c>
      <c r="Q412" t="s">
        <v>687</v>
      </c>
      <c r="S412" t="s">
        <v>700</v>
      </c>
      <c r="T412" t="s">
        <v>703</v>
      </c>
    </row>
    <row r="413" spans="1:20" x14ac:dyDescent="0.2">
      <c r="A413" t="s">
        <v>654</v>
      </c>
      <c r="B413">
        <v>9</v>
      </c>
      <c r="C413" t="s">
        <v>583</v>
      </c>
      <c r="D413" t="s">
        <v>694</v>
      </c>
      <c r="E413" s="3">
        <f>27.5-71.4</f>
        <v>-43.900000000000006</v>
      </c>
      <c r="F413" s="3">
        <f>28.3-70.2</f>
        <v>-41.900000000000006</v>
      </c>
      <c r="G413" s="3">
        <f t="shared" si="7"/>
        <v>-35.500000000000007</v>
      </c>
      <c r="K413" t="s">
        <v>680</v>
      </c>
      <c r="L413" t="s">
        <v>671</v>
      </c>
      <c r="N413" t="s">
        <v>688</v>
      </c>
      <c r="O413" t="s">
        <v>690</v>
      </c>
      <c r="P413" t="s">
        <v>688</v>
      </c>
      <c r="Q413" t="s">
        <v>688</v>
      </c>
      <c r="S413" t="s">
        <v>700</v>
      </c>
      <c r="T413" t="s">
        <v>703</v>
      </c>
    </row>
    <row r="414" spans="1:20" x14ac:dyDescent="0.2">
      <c r="A414" t="s">
        <v>654</v>
      </c>
      <c r="B414">
        <v>10</v>
      </c>
      <c r="C414" t="s">
        <v>584</v>
      </c>
      <c r="D414" t="s">
        <v>695</v>
      </c>
      <c r="E414" s="3">
        <f>52.6-44.3</f>
        <v>8.3000000000000043</v>
      </c>
      <c r="F414" s="3">
        <f>58-40</f>
        <v>18</v>
      </c>
      <c r="G414" s="3">
        <f t="shared" si="7"/>
        <v>16.700000000000003</v>
      </c>
      <c r="K414" t="s">
        <v>676</v>
      </c>
      <c r="L414" t="s">
        <v>669</v>
      </c>
      <c r="N414" t="s">
        <v>690</v>
      </c>
      <c r="O414" t="s">
        <v>687</v>
      </c>
      <c r="P414" t="s">
        <v>688</v>
      </c>
      <c r="Q414" t="s">
        <v>687</v>
      </c>
      <c r="S414" t="s">
        <v>700</v>
      </c>
      <c r="T414" t="s">
        <v>703</v>
      </c>
    </row>
    <row r="415" spans="1:20" x14ac:dyDescent="0.2">
      <c r="A415" t="s">
        <v>654</v>
      </c>
      <c r="B415">
        <v>11</v>
      </c>
      <c r="C415" t="s">
        <v>585</v>
      </c>
      <c r="D415" t="s">
        <v>695</v>
      </c>
      <c r="E415" s="3">
        <f>65.2-31.2</f>
        <v>34</v>
      </c>
      <c r="F415" s="3">
        <f>69.4-28.4</f>
        <v>41.000000000000007</v>
      </c>
      <c r="G415" s="3">
        <f t="shared" si="7"/>
        <v>42.4</v>
      </c>
      <c r="K415" t="s">
        <v>676</v>
      </c>
      <c r="L415" t="s">
        <v>669</v>
      </c>
      <c r="N415" t="s">
        <v>690</v>
      </c>
      <c r="O415" t="s">
        <v>687</v>
      </c>
      <c r="P415" t="s">
        <v>688</v>
      </c>
      <c r="Q415" t="s">
        <v>688</v>
      </c>
      <c r="S415" t="s">
        <v>700</v>
      </c>
      <c r="T415" t="s">
        <v>703</v>
      </c>
    </row>
    <row r="416" spans="1:20" x14ac:dyDescent="0.2">
      <c r="A416" t="s">
        <v>655</v>
      </c>
      <c r="B416">
        <v>1</v>
      </c>
      <c r="C416" t="s">
        <v>586</v>
      </c>
      <c r="D416" t="s">
        <v>695</v>
      </c>
      <c r="E416" s="3">
        <v>28.5</v>
      </c>
      <c r="F416" s="3">
        <f>63.5-33.1</f>
        <v>30.4</v>
      </c>
      <c r="G416" s="3">
        <f t="shared" si="7"/>
        <v>36.9</v>
      </c>
      <c r="K416" t="s">
        <v>673</v>
      </c>
      <c r="L416" t="s">
        <v>669</v>
      </c>
      <c r="N416" t="s">
        <v>690</v>
      </c>
      <c r="O416" t="s">
        <v>687</v>
      </c>
      <c r="P416" t="s">
        <v>688</v>
      </c>
      <c r="Q416" t="s">
        <v>688</v>
      </c>
      <c r="S416" t="s">
        <v>699</v>
      </c>
      <c r="T416" t="s">
        <v>703</v>
      </c>
    </row>
    <row r="417" spans="1:20" x14ac:dyDescent="0.2">
      <c r="A417" t="s">
        <v>655</v>
      </c>
      <c r="B417">
        <v>2</v>
      </c>
      <c r="C417" t="s">
        <v>587</v>
      </c>
      <c r="D417" t="s">
        <v>695</v>
      </c>
      <c r="E417" s="3">
        <v>23.5</v>
      </c>
      <c r="F417" s="3">
        <f>59.7-37</f>
        <v>22.700000000000003</v>
      </c>
      <c r="G417" s="3">
        <f t="shared" si="7"/>
        <v>31.9</v>
      </c>
      <c r="K417" t="s">
        <v>673</v>
      </c>
      <c r="L417" t="s">
        <v>669</v>
      </c>
      <c r="N417" t="s">
        <v>687</v>
      </c>
      <c r="O417" t="s">
        <v>689</v>
      </c>
      <c r="P417" t="s">
        <v>688</v>
      </c>
      <c r="Q417" t="s">
        <v>688</v>
      </c>
      <c r="S417" t="s">
        <v>699</v>
      </c>
      <c r="T417" t="s">
        <v>703</v>
      </c>
    </row>
    <row r="418" spans="1:20" x14ac:dyDescent="0.2">
      <c r="A418" t="s">
        <v>655</v>
      </c>
      <c r="B418">
        <v>3</v>
      </c>
      <c r="C418" t="s">
        <v>588</v>
      </c>
      <c r="D418" t="s">
        <v>695</v>
      </c>
      <c r="E418" s="3">
        <v>-3.3</v>
      </c>
      <c r="F418" s="3">
        <f>46.3-50.5</f>
        <v>-4.2000000000000028</v>
      </c>
      <c r="G418" s="3">
        <f t="shared" si="7"/>
        <v>5.1000000000000005</v>
      </c>
      <c r="K418" t="s">
        <v>673</v>
      </c>
      <c r="L418" t="s">
        <v>670</v>
      </c>
      <c r="N418" t="s">
        <v>687</v>
      </c>
      <c r="O418" t="s">
        <v>690</v>
      </c>
      <c r="P418" t="s">
        <v>688</v>
      </c>
      <c r="Q418" t="s">
        <v>688</v>
      </c>
      <c r="S418" t="s">
        <v>699</v>
      </c>
      <c r="T418" t="s">
        <v>703</v>
      </c>
    </row>
    <row r="419" spans="1:20" x14ac:dyDescent="0.2">
      <c r="A419" t="s">
        <v>655</v>
      </c>
      <c r="B419">
        <v>4</v>
      </c>
      <c r="C419" t="s">
        <v>589</v>
      </c>
      <c r="D419" t="s">
        <v>694</v>
      </c>
      <c r="E419" s="3">
        <v>-20.6</v>
      </c>
      <c r="F419" s="3">
        <f>40-56.9</f>
        <v>-16.899999999999999</v>
      </c>
      <c r="G419" s="3">
        <f t="shared" si="7"/>
        <v>-12.200000000000001</v>
      </c>
      <c r="K419" t="s">
        <v>673</v>
      </c>
      <c r="L419" t="s">
        <v>671</v>
      </c>
      <c r="N419" t="s">
        <v>688</v>
      </c>
      <c r="O419" t="s">
        <v>687</v>
      </c>
      <c r="P419" t="s">
        <v>688</v>
      </c>
      <c r="Q419" t="s">
        <v>689</v>
      </c>
      <c r="S419" t="s">
        <v>699</v>
      </c>
      <c r="T419" t="s">
        <v>703</v>
      </c>
    </row>
    <row r="420" spans="1:20" x14ac:dyDescent="0.2">
      <c r="A420" t="s">
        <v>655</v>
      </c>
      <c r="B420">
        <v>5</v>
      </c>
      <c r="C420" t="s">
        <v>590</v>
      </c>
      <c r="D420" t="s">
        <v>694</v>
      </c>
      <c r="E420" s="3">
        <v>-10.7</v>
      </c>
      <c r="F420" s="3">
        <f>43.2-52.1</f>
        <v>-8.8999999999999986</v>
      </c>
      <c r="G420" s="3">
        <f t="shared" si="7"/>
        <v>-2.2999999999999989</v>
      </c>
      <c r="K420" t="s">
        <v>673</v>
      </c>
      <c r="L420" t="s">
        <v>671</v>
      </c>
      <c r="N420" t="s">
        <v>687</v>
      </c>
      <c r="O420" t="s">
        <v>690</v>
      </c>
      <c r="P420" t="s">
        <v>688</v>
      </c>
      <c r="Q420" t="s">
        <v>688</v>
      </c>
      <c r="S420" t="s">
        <v>699</v>
      </c>
      <c r="T420" t="s">
        <v>703</v>
      </c>
    </row>
    <row r="421" spans="1:20" x14ac:dyDescent="0.2">
      <c r="A421" t="s">
        <v>655</v>
      </c>
      <c r="B421">
        <v>6</v>
      </c>
      <c r="C421" t="s">
        <v>591</v>
      </c>
      <c r="D421" t="s">
        <v>695</v>
      </c>
      <c r="E421" s="3">
        <v>19.2</v>
      </c>
      <c r="F421" s="3">
        <f>56.7-39.6</f>
        <v>17.100000000000001</v>
      </c>
      <c r="G421" s="3">
        <f t="shared" si="7"/>
        <v>27.6</v>
      </c>
      <c r="K421" t="s">
        <v>673</v>
      </c>
      <c r="L421" t="s">
        <v>669</v>
      </c>
      <c r="N421" t="s">
        <v>687</v>
      </c>
      <c r="O421" t="s">
        <v>689</v>
      </c>
      <c r="P421" t="s">
        <v>688</v>
      </c>
      <c r="Q421" t="s">
        <v>688</v>
      </c>
      <c r="S421" t="s">
        <v>699</v>
      </c>
      <c r="T421" t="s">
        <v>703</v>
      </c>
    </row>
    <row r="422" spans="1:20" x14ac:dyDescent="0.2">
      <c r="A422" t="s">
        <v>655</v>
      </c>
      <c r="B422">
        <v>7</v>
      </c>
      <c r="C422" t="s">
        <v>592</v>
      </c>
      <c r="D422" t="s">
        <v>695</v>
      </c>
      <c r="E422" s="3">
        <v>74.5</v>
      </c>
      <c r="F422" s="3">
        <f>86.3-11.2</f>
        <v>75.099999999999994</v>
      </c>
      <c r="G422" s="3">
        <f t="shared" si="7"/>
        <v>82.9</v>
      </c>
      <c r="K422" t="s">
        <v>673</v>
      </c>
      <c r="L422" t="s">
        <v>668</v>
      </c>
      <c r="N422" t="s">
        <v>690</v>
      </c>
      <c r="O422" t="s">
        <v>689</v>
      </c>
      <c r="P422" t="s">
        <v>688</v>
      </c>
      <c r="Q422" t="s">
        <v>688</v>
      </c>
      <c r="S422" t="s">
        <v>699</v>
      </c>
      <c r="T422" t="s">
        <v>703</v>
      </c>
    </row>
    <row r="423" spans="1:20" x14ac:dyDescent="0.2">
      <c r="A423" t="s">
        <v>655</v>
      </c>
      <c r="B423">
        <v>8</v>
      </c>
      <c r="C423" t="s">
        <v>593</v>
      </c>
      <c r="D423" t="s">
        <v>695</v>
      </c>
      <c r="E423" s="3">
        <v>5.7</v>
      </c>
      <c r="F423" s="3">
        <f>51.7-45</f>
        <v>6.7000000000000028</v>
      </c>
      <c r="G423" s="3">
        <f t="shared" si="7"/>
        <v>14.100000000000001</v>
      </c>
      <c r="K423" t="s">
        <v>673</v>
      </c>
      <c r="L423" t="s">
        <v>669</v>
      </c>
      <c r="N423" t="s">
        <v>689</v>
      </c>
      <c r="O423" t="s">
        <v>689</v>
      </c>
      <c r="P423" t="s">
        <v>688</v>
      </c>
      <c r="Q423" t="s">
        <v>688</v>
      </c>
      <c r="S423" t="s">
        <v>699</v>
      </c>
      <c r="T423" t="s">
        <v>703</v>
      </c>
    </row>
    <row r="424" spans="1:20" x14ac:dyDescent="0.2">
      <c r="A424" t="s">
        <v>655</v>
      </c>
      <c r="B424">
        <v>9</v>
      </c>
      <c r="C424" t="s">
        <v>594</v>
      </c>
      <c r="D424" t="s">
        <v>695</v>
      </c>
      <c r="E424" s="3">
        <v>41</v>
      </c>
      <c r="F424" s="3">
        <f>71-26.3</f>
        <v>44.7</v>
      </c>
      <c r="G424" s="3">
        <f t="shared" si="7"/>
        <v>49.4</v>
      </c>
      <c r="K424" t="s">
        <v>673</v>
      </c>
      <c r="L424" t="s">
        <v>669</v>
      </c>
      <c r="N424" t="s">
        <v>689</v>
      </c>
      <c r="O424" t="s">
        <v>688</v>
      </c>
      <c r="P424" t="s">
        <v>687</v>
      </c>
      <c r="Q424" t="s">
        <v>688</v>
      </c>
      <c r="S424" t="s">
        <v>699</v>
      </c>
      <c r="T424" t="s">
        <v>703</v>
      </c>
    </row>
    <row r="425" spans="1:20" x14ac:dyDescent="0.2">
      <c r="A425" t="s">
        <v>655</v>
      </c>
      <c r="B425">
        <v>10</v>
      </c>
      <c r="C425" t="s">
        <v>595</v>
      </c>
      <c r="D425" t="s">
        <v>695</v>
      </c>
      <c r="E425" s="3">
        <v>17.899999999999999</v>
      </c>
      <c r="F425" s="3">
        <f>56.9-39.3</f>
        <v>17.600000000000001</v>
      </c>
      <c r="G425" s="3">
        <f t="shared" si="7"/>
        <v>26.299999999999997</v>
      </c>
      <c r="K425" t="s">
        <v>673</v>
      </c>
      <c r="L425" t="s">
        <v>669</v>
      </c>
      <c r="N425" t="s">
        <v>687</v>
      </c>
      <c r="O425" t="s">
        <v>689</v>
      </c>
      <c r="P425" t="s">
        <v>688</v>
      </c>
      <c r="Q425" t="s">
        <v>688</v>
      </c>
      <c r="S425" t="s">
        <v>699</v>
      </c>
      <c r="T425" t="s">
        <v>703</v>
      </c>
    </row>
    <row r="426" spans="1:20" x14ac:dyDescent="0.2">
      <c r="A426" t="s">
        <v>656</v>
      </c>
      <c r="B426">
        <v>1</v>
      </c>
      <c r="C426" t="s">
        <v>596</v>
      </c>
      <c r="D426" t="s">
        <v>694</v>
      </c>
      <c r="E426" s="3">
        <v>-44.4</v>
      </c>
      <c r="F426" s="3">
        <f>26.7-71.2</f>
        <v>-44.5</v>
      </c>
      <c r="G426" s="3">
        <f t="shared" si="7"/>
        <v>-36</v>
      </c>
      <c r="H426" s="4" t="s">
        <v>597</v>
      </c>
      <c r="I426" t="s">
        <v>596</v>
      </c>
      <c r="K426" t="s">
        <v>680</v>
      </c>
      <c r="L426" t="s">
        <v>671</v>
      </c>
      <c r="N426" t="s">
        <v>688</v>
      </c>
      <c r="O426" t="s">
        <v>690</v>
      </c>
      <c r="P426" t="s">
        <v>688</v>
      </c>
      <c r="Q426" t="s">
        <v>688</v>
      </c>
      <c r="S426" t="s">
        <v>700</v>
      </c>
      <c r="T426" t="s">
        <v>704</v>
      </c>
    </row>
    <row r="427" spans="1:20" x14ac:dyDescent="0.2">
      <c r="A427" t="s">
        <v>656</v>
      </c>
      <c r="B427">
        <v>2</v>
      </c>
      <c r="C427" t="s">
        <v>598</v>
      </c>
      <c r="D427" t="s">
        <v>694</v>
      </c>
      <c r="E427" s="3">
        <v>-39.6</v>
      </c>
      <c r="F427" s="3">
        <f>27.3-69.4</f>
        <v>-42.100000000000009</v>
      </c>
      <c r="G427" s="3">
        <f t="shared" si="7"/>
        <v>-31.200000000000003</v>
      </c>
      <c r="H427" s="4" t="s">
        <v>599</v>
      </c>
      <c r="I427" t="s">
        <v>600</v>
      </c>
      <c r="K427" t="s">
        <v>680</v>
      </c>
      <c r="L427" t="s">
        <v>671</v>
      </c>
      <c r="N427" t="s">
        <v>688</v>
      </c>
      <c r="O427" t="s">
        <v>690</v>
      </c>
      <c r="P427" t="s">
        <v>688</v>
      </c>
      <c r="Q427" t="s">
        <v>688</v>
      </c>
      <c r="S427" t="s">
        <v>700</v>
      </c>
      <c r="T427" t="s">
        <v>704</v>
      </c>
    </row>
    <row r="428" spans="1:20" x14ac:dyDescent="0.2">
      <c r="A428" t="s">
        <v>657</v>
      </c>
      <c r="B428">
        <v>1</v>
      </c>
      <c r="C428" t="s">
        <v>601</v>
      </c>
      <c r="D428" t="s">
        <v>694</v>
      </c>
      <c r="E428" s="3">
        <v>-4.5</v>
      </c>
      <c r="F428" s="3">
        <f>48.1-50.1</f>
        <v>-2</v>
      </c>
      <c r="G428" s="3">
        <f t="shared" si="7"/>
        <v>3.9000000000000004</v>
      </c>
      <c r="K428" t="s">
        <v>664</v>
      </c>
      <c r="L428" t="s">
        <v>669</v>
      </c>
      <c r="N428" t="s">
        <v>687</v>
      </c>
      <c r="O428" t="s">
        <v>690</v>
      </c>
      <c r="P428" t="s">
        <v>688</v>
      </c>
      <c r="Q428" t="s">
        <v>688</v>
      </c>
      <c r="S428" t="s">
        <v>700</v>
      </c>
      <c r="T428" t="s">
        <v>703</v>
      </c>
    </row>
    <row r="429" spans="1:20" x14ac:dyDescent="0.2">
      <c r="A429" t="s">
        <v>657</v>
      </c>
      <c r="B429">
        <v>2</v>
      </c>
      <c r="C429" t="s">
        <v>602</v>
      </c>
      <c r="D429" t="s">
        <v>695</v>
      </c>
      <c r="E429" s="3">
        <v>40</v>
      </c>
      <c r="F429" s="3">
        <f>70-28.3</f>
        <v>41.7</v>
      </c>
      <c r="G429" s="3">
        <f t="shared" si="7"/>
        <v>48.4</v>
      </c>
      <c r="K429" t="s">
        <v>664</v>
      </c>
      <c r="L429" t="s">
        <v>668</v>
      </c>
      <c r="N429" t="s">
        <v>689</v>
      </c>
      <c r="O429" t="s">
        <v>690</v>
      </c>
      <c r="P429" t="s">
        <v>688</v>
      </c>
      <c r="Q429" t="s">
        <v>688</v>
      </c>
      <c r="S429" t="s">
        <v>700</v>
      </c>
      <c r="T429" t="s">
        <v>703</v>
      </c>
    </row>
    <row r="430" spans="1:20" x14ac:dyDescent="0.2">
      <c r="A430" t="s">
        <v>657</v>
      </c>
      <c r="B430">
        <v>3</v>
      </c>
      <c r="C430" t="s">
        <v>603</v>
      </c>
      <c r="D430" t="s">
        <v>695</v>
      </c>
      <c r="E430" s="3">
        <v>-7.4</v>
      </c>
      <c r="F430" s="3">
        <f>46.7-51.4</f>
        <v>-4.6999999999999957</v>
      </c>
      <c r="G430" s="3">
        <f t="shared" si="7"/>
        <v>1</v>
      </c>
      <c r="K430" t="s">
        <v>664</v>
      </c>
      <c r="L430" t="s">
        <v>672</v>
      </c>
      <c r="N430" t="s">
        <v>687</v>
      </c>
      <c r="O430" t="s">
        <v>690</v>
      </c>
      <c r="P430" t="s">
        <v>688</v>
      </c>
      <c r="Q430" t="s">
        <v>688</v>
      </c>
      <c r="S430" t="s">
        <v>700</v>
      </c>
      <c r="T430" t="s">
        <v>703</v>
      </c>
    </row>
    <row r="431" spans="1:20" x14ac:dyDescent="0.2">
      <c r="A431" t="s">
        <v>657</v>
      </c>
      <c r="B431">
        <v>4</v>
      </c>
      <c r="C431" t="s">
        <v>604</v>
      </c>
      <c r="D431" t="s">
        <v>694</v>
      </c>
      <c r="E431" s="3">
        <v>51.4</v>
      </c>
      <c r="F431" s="3">
        <f>75.6-22.7</f>
        <v>52.899999999999991</v>
      </c>
      <c r="G431" s="3">
        <f t="shared" si="7"/>
        <v>59.8</v>
      </c>
      <c r="K431" t="s">
        <v>664</v>
      </c>
      <c r="L431" t="s">
        <v>668</v>
      </c>
      <c r="N431" t="s">
        <v>687</v>
      </c>
      <c r="O431" t="s">
        <v>687</v>
      </c>
      <c r="P431" t="s">
        <v>689</v>
      </c>
      <c r="Q431" t="s">
        <v>687</v>
      </c>
      <c r="S431" t="s">
        <v>700</v>
      </c>
      <c r="T431" t="s">
        <v>703</v>
      </c>
    </row>
    <row r="432" spans="1:20" x14ac:dyDescent="0.2">
      <c r="A432" t="s">
        <v>657</v>
      </c>
      <c r="B432">
        <v>5</v>
      </c>
      <c r="C432" t="s">
        <v>605</v>
      </c>
      <c r="D432" t="s">
        <v>694</v>
      </c>
      <c r="E432" s="3">
        <v>-22.1</v>
      </c>
      <c r="F432" s="3">
        <f>37.8-60.6</f>
        <v>-22.800000000000004</v>
      </c>
      <c r="G432" s="3">
        <f t="shared" si="7"/>
        <v>-13.700000000000001</v>
      </c>
      <c r="K432" t="s">
        <v>664</v>
      </c>
      <c r="L432" t="s">
        <v>672</v>
      </c>
      <c r="N432" t="s">
        <v>689</v>
      </c>
      <c r="O432" t="s">
        <v>690</v>
      </c>
      <c r="P432" t="s">
        <v>688</v>
      </c>
      <c r="Q432" t="s">
        <v>688</v>
      </c>
      <c r="S432" t="s">
        <v>700</v>
      </c>
      <c r="T432" t="s">
        <v>703</v>
      </c>
    </row>
    <row r="433" spans="1:20" x14ac:dyDescent="0.2">
      <c r="A433" t="s">
        <v>657</v>
      </c>
      <c r="B433">
        <v>6</v>
      </c>
      <c r="C433" t="s">
        <v>606</v>
      </c>
      <c r="D433" t="s">
        <v>694</v>
      </c>
      <c r="E433" s="3">
        <v>-16.399999999999999</v>
      </c>
      <c r="F433" s="3">
        <f>41.3-56.9</f>
        <v>-15.600000000000001</v>
      </c>
      <c r="G433" s="3">
        <f t="shared" si="7"/>
        <v>-7.9999999999999982</v>
      </c>
      <c r="K433" t="s">
        <v>664</v>
      </c>
      <c r="L433" t="s">
        <v>671</v>
      </c>
      <c r="N433" t="s">
        <v>687</v>
      </c>
      <c r="O433" t="s">
        <v>690</v>
      </c>
      <c r="P433" t="s">
        <v>688</v>
      </c>
      <c r="Q433" t="s">
        <v>688</v>
      </c>
      <c r="S433" t="s">
        <v>700</v>
      </c>
      <c r="T433" t="s">
        <v>703</v>
      </c>
    </row>
    <row r="434" spans="1:20" x14ac:dyDescent="0.2">
      <c r="A434" t="s">
        <v>657</v>
      </c>
      <c r="B434">
        <v>7</v>
      </c>
      <c r="C434" t="s">
        <v>607</v>
      </c>
      <c r="D434" t="s">
        <v>694</v>
      </c>
      <c r="E434" s="3">
        <v>-22.5</v>
      </c>
      <c r="F434" s="3">
        <f>39.2-59.1</f>
        <v>-19.899999999999999</v>
      </c>
      <c r="G434" s="3">
        <f t="shared" si="7"/>
        <v>-14.1</v>
      </c>
      <c r="K434" t="s">
        <v>664</v>
      </c>
      <c r="L434" t="s">
        <v>671</v>
      </c>
      <c r="N434" t="s">
        <v>688</v>
      </c>
      <c r="O434" t="s">
        <v>690</v>
      </c>
      <c r="P434" t="s">
        <v>688</v>
      </c>
      <c r="Q434" t="s">
        <v>688</v>
      </c>
      <c r="S434" t="s">
        <v>700</v>
      </c>
      <c r="T434" t="s">
        <v>703</v>
      </c>
    </row>
    <row r="435" spans="1:20" x14ac:dyDescent="0.2">
      <c r="A435" t="s">
        <v>657</v>
      </c>
      <c r="B435">
        <v>8</v>
      </c>
      <c r="C435" t="s">
        <v>608</v>
      </c>
      <c r="D435" t="s">
        <v>694</v>
      </c>
      <c r="E435" s="3">
        <v>-16.2</v>
      </c>
      <c r="F435" s="3">
        <f>41.4-56.9</f>
        <v>-15.5</v>
      </c>
      <c r="G435" s="3">
        <f t="shared" si="7"/>
        <v>-7.7999999999999989</v>
      </c>
      <c r="K435" t="s">
        <v>664</v>
      </c>
      <c r="L435" t="s">
        <v>671</v>
      </c>
      <c r="N435" t="s">
        <v>687</v>
      </c>
      <c r="O435" t="s">
        <v>690</v>
      </c>
      <c r="P435" t="s">
        <v>688</v>
      </c>
      <c r="Q435" t="s">
        <v>688</v>
      </c>
      <c r="S435" t="s">
        <v>700</v>
      </c>
      <c r="T435" t="s">
        <v>703</v>
      </c>
    </row>
    <row r="436" spans="1:20" x14ac:dyDescent="0.2">
      <c r="A436" t="s">
        <v>658</v>
      </c>
      <c r="B436" s="5" t="s">
        <v>17</v>
      </c>
      <c r="C436" t="s">
        <v>609</v>
      </c>
      <c r="D436" t="s">
        <v>694</v>
      </c>
      <c r="E436" s="3">
        <v>-46.2</v>
      </c>
      <c r="F436" s="3">
        <f>26.6-69.9</f>
        <v>-43.300000000000004</v>
      </c>
      <c r="G436" s="3">
        <f t="shared" si="7"/>
        <v>-37.800000000000004</v>
      </c>
      <c r="K436" t="s">
        <v>679</v>
      </c>
      <c r="L436" t="s">
        <v>671</v>
      </c>
      <c r="N436" t="s">
        <v>687</v>
      </c>
      <c r="O436" t="s">
        <v>690</v>
      </c>
      <c r="Q436" t="s">
        <v>688</v>
      </c>
      <c r="S436" t="s">
        <v>700</v>
      </c>
      <c r="T436" t="s">
        <v>703</v>
      </c>
    </row>
  </sheetData>
  <conditionalFormatting sqref="E2:F8">
    <cfRule type="colorScale" priority="1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E1:G1 E376 E437:G1048576 E377:F436 E9:F375 G9:G436 K1:M1">
    <cfRule type="colorScale" priority="3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G2:G8">
    <cfRule type="colorScale" priority="2">
      <colorScale>
        <cfvo type="min"/>
        <cfvo type="num" val="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239B-E2C3-E846-89CF-BB745D1BE65F}">
  <dimension ref="A1:B6"/>
  <sheetViews>
    <sheetView workbookViewId="0">
      <selection activeCell="B7" sqref="B7"/>
    </sheetView>
  </sheetViews>
  <sheetFormatPr baseColWidth="10" defaultRowHeight="16" x14ac:dyDescent="0.2"/>
  <cols>
    <col min="1" max="1" width="14.5" customWidth="1"/>
    <col min="2" max="2" width="12.1640625" customWidth="1"/>
  </cols>
  <sheetData>
    <row r="1" spans="1:2" x14ac:dyDescent="0.2">
      <c r="A1" s="1" t="s">
        <v>662</v>
      </c>
      <c r="B1" s="1" t="s">
        <v>660</v>
      </c>
    </row>
    <row r="2" spans="1:2" x14ac:dyDescent="0.2">
      <c r="A2" t="s">
        <v>663</v>
      </c>
      <c r="B2" t="s">
        <v>668</v>
      </c>
    </row>
    <row r="3" spans="1:2" x14ac:dyDescent="0.2">
      <c r="A3" t="s">
        <v>664</v>
      </c>
      <c r="B3" t="s">
        <v>669</v>
      </c>
    </row>
    <row r="4" spans="1:2" x14ac:dyDescent="0.2">
      <c r="A4" t="s">
        <v>665</v>
      </c>
      <c r="B4" t="s">
        <v>670</v>
      </c>
    </row>
    <row r="5" spans="1:2" x14ac:dyDescent="0.2">
      <c r="A5" t="s">
        <v>666</v>
      </c>
      <c r="B5" t="s">
        <v>671</v>
      </c>
    </row>
    <row r="6" spans="1:2" x14ac:dyDescent="0.2">
      <c r="A6" t="s">
        <v>667</v>
      </c>
      <c r="B6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 Model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Yelin</dc:creator>
  <cp:lastModifiedBy>Ben Yelin</cp:lastModifiedBy>
  <dcterms:created xsi:type="dcterms:W3CDTF">2026-05-29T20:40:50Z</dcterms:created>
  <dcterms:modified xsi:type="dcterms:W3CDTF">2026-07-09T14:35:41Z</dcterms:modified>
</cp:coreProperties>
</file>